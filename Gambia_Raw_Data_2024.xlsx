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erintreanore/Desktop/"/>
    </mc:Choice>
  </mc:AlternateContent>
  <xr:revisionPtr revIDLastSave="0" documentId="8_{AADCA9A3-3E24-3C42-8048-018E40A393CA}" xr6:coauthVersionLast="47" xr6:coauthVersionMax="47" xr10:uidLastSave="{00000000-0000-0000-0000-000000000000}"/>
  <bookViews>
    <workbookView xWindow="0" yWindow="0" windowWidth="28800" windowHeight="18000" xr2:uid="{E5F54E01-976D-1843-82FB-572523D0CD60}"/>
  </bookViews>
  <sheets>
    <sheet name="Pivot Chart" sheetId="4" r:id="rId1"/>
    <sheet name="Raw Data" sheetId="1" r:id="rId2"/>
    <sheet name="Sheet6" sheetId="6" r:id="rId3"/>
    <sheet name="Farmer Record Info" sheetId="5" r:id="rId4"/>
    <sheet name="Metadata" sheetId="2" r:id="rId5"/>
  </sheets>
  <calcPr calcId="181029"/>
  <pivotCaches>
    <pivotCache cacheId="55"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 i="1" l="1"/>
  <c r="K22" i="1"/>
  <c r="K60" i="1"/>
  <c r="K21" i="1"/>
  <c r="K73" i="1"/>
  <c r="K87" i="1"/>
  <c r="K75" i="1"/>
  <c r="K81" i="1"/>
  <c r="K18" i="1"/>
  <c r="K59" i="1"/>
  <c r="K74" i="1"/>
  <c r="K57" i="1"/>
  <c r="K77" i="1"/>
  <c r="K25" i="1"/>
  <c r="K24" i="1"/>
  <c r="K64" i="1"/>
  <c r="K86" i="1"/>
  <c r="K80" i="1"/>
  <c r="K20" i="1"/>
  <c r="K82" i="1"/>
  <c r="K15" i="1"/>
  <c r="K56" i="1"/>
  <c r="K16" i="1"/>
  <c r="K65" i="1"/>
  <c r="K19" i="1"/>
  <c r="K53" i="1"/>
  <c r="K52" i="1"/>
  <c r="K54" i="1"/>
  <c r="K30" i="1"/>
  <c r="K17" i="1"/>
  <c r="K28" i="1"/>
  <c r="K33" i="1"/>
  <c r="K76" i="1"/>
  <c r="K83" i="1"/>
  <c r="K29" i="1"/>
  <c r="K51" i="1"/>
  <c r="K50" i="1"/>
  <c r="K55" i="1"/>
  <c r="K58" i="1"/>
  <c r="K27" i="1"/>
  <c r="K14" i="1"/>
  <c r="K32" i="1"/>
  <c r="K66" i="1"/>
  <c r="K44" i="1"/>
  <c r="K79" i="1"/>
  <c r="K62" i="1"/>
  <c r="K45" i="1"/>
  <c r="K68" i="1"/>
  <c r="K69" i="1"/>
  <c r="K42" i="1"/>
  <c r="K78" i="1"/>
  <c r="K35" i="1"/>
  <c r="K31" i="1"/>
  <c r="K85" i="1"/>
  <c r="K72" i="1"/>
  <c r="K63" i="1"/>
  <c r="K49" i="1"/>
  <c r="K84" i="1"/>
  <c r="K70" i="1"/>
  <c r="K61" i="1"/>
  <c r="K67" i="1"/>
  <c r="K71" i="1"/>
  <c r="K48" i="1"/>
  <c r="K46" i="1"/>
  <c r="K43" i="1"/>
  <c r="K47" i="1"/>
  <c r="K34" i="1"/>
  <c r="K26" i="1"/>
  <c r="K36" i="1"/>
  <c r="K37" i="1"/>
  <c r="K38" i="1"/>
  <c r="K39" i="1"/>
  <c r="K40" i="1"/>
  <c r="K41" i="1"/>
  <c r="K6" i="1"/>
  <c r="K7" i="1"/>
  <c r="K8" i="1"/>
  <c r="K9" i="1"/>
  <c r="K10" i="1"/>
  <c r="K11" i="1"/>
  <c r="K12" i="1"/>
  <c r="K13" i="1"/>
  <c r="K3" i="1"/>
  <c r="K4" i="1"/>
  <c r="K5" i="1"/>
  <c r="K2" i="1"/>
</calcChain>
</file>

<file path=xl/sharedStrings.xml><?xml version="1.0" encoding="utf-8"?>
<sst xmlns="http://schemas.openxmlformats.org/spreadsheetml/2006/main" count="157" uniqueCount="120">
  <si>
    <t>Record ID</t>
  </si>
  <si>
    <t>Date</t>
  </si>
  <si>
    <t>Region</t>
  </si>
  <si>
    <t>Farm</t>
  </si>
  <si>
    <t>pH 1 (A)</t>
  </si>
  <si>
    <t>pH 2 (B)</t>
  </si>
  <si>
    <t>Notes</t>
  </si>
  <si>
    <t xml:space="preserve">pH 3 ( C ) </t>
  </si>
  <si>
    <t>Metadata</t>
  </si>
  <si>
    <t>A is sensor from CAS</t>
  </si>
  <si>
    <t xml:space="preserve">B is sensor from Ebrima </t>
  </si>
  <si>
    <t>C is sensor from DC</t>
  </si>
  <si>
    <t>Sample ID</t>
  </si>
  <si>
    <t>Bolongba drameh</t>
  </si>
  <si>
    <t>F1-1</t>
  </si>
  <si>
    <t>F1-2</t>
  </si>
  <si>
    <t>F1-3</t>
  </si>
  <si>
    <t>F1-4</t>
  </si>
  <si>
    <t>F1-5</t>
  </si>
  <si>
    <t>F1-6</t>
  </si>
  <si>
    <t>F1-7</t>
  </si>
  <si>
    <t>F1-8</t>
  </si>
  <si>
    <t>F1-9</t>
  </si>
  <si>
    <t>F1-10</t>
  </si>
  <si>
    <t>F1-11</t>
  </si>
  <si>
    <t>F1-12</t>
  </si>
  <si>
    <t>F2-1</t>
  </si>
  <si>
    <t>F2-2</t>
  </si>
  <si>
    <t>F2-3</t>
  </si>
  <si>
    <t>F2-4</t>
  </si>
  <si>
    <t>F2-5</t>
  </si>
  <si>
    <t>F2-6</t>
  </si>
  <si>
    <t>Lamin Jabbi</t>
  </si>
  <si>
    <t>Average</t>
  </si>
  <si>
    <t>Row Labels</t>
  </si>
  <si>
    <t>(blank)</t>
  </si>
  <si>
    <t>Grand Total</t>
  </si>
  <si>
    <t>Average of Average</t>
  </si>
  <si>
    <t>Bottle ID</t>
  </si>
  <si>
    <t>Farmer</t>
  </si>
  <si>
    <t>Background Information</t>
  </si>
  <si>
    <t>Bongoga Drammeh</t>
  </si>
  <si>
    <t>Soil Compaction</t>
  </si>
  <si>
    <t>Sensors</t>
  </si>
  <si>
    <t>Misc. notes</t>
  </si>
  <si>
    <r>
      <rPr>
        <b/>
        <sz val="12"/>
        <color theme="1"/>
        <rFont val="Aptos Narrow"/>
        <scheme val="minor"/>
      </rPr>
      <t>Soil notes</t>
    </r>
    <r>
      <rPr>
        <sz val="12"/>
        <color theme="1"/>
        <rFont val="Aptos Narrow"/>
        <family val="2"/>
        <scheme val="minor"/>
      </rPr>
      <t>: Evidence of soil compaction, sample was stopped at 7 inches with some samples ending at 5.5 inches. Farm used to produce 20 bushels and now it only produces 8. On the</t>
    </r>
    <r>
      <rPr>
        <sz val="12"/>
        <color theme="1"/>
        <rFont val="Aptos Narrow"/>
        <scheme val="minor"/>
      </rPr>
      <t xml:space="preserve"> farm there are cattle grazing and evidence of manure. Farmers practive intercropping, depending on who is farming (men or women) with maize, hibiscus, and cowpea. Farm is located close to the hilly area, which is why farmers think it is rocky. Reports of flooding if lots of rain, otherwise very dry.</t>
    </r>
  </si>
  <si>
    <t xml:space="preserve">Greater levels of compaction observed, 4-5 inches. Cattle are present and there is again evidence of manure. Main crops being grown are similar to that of the first farm with the addition of pearl millet. </t>
  </si>
  <si>
    <t>pH (D)</t>
  </si>
  <si>
    <t>F11-6</t>
  </si>
  <si>
    <t>F11-3</t>
  </si>
  <si>
    <t>F5-3</t>
  </si>
  <si>
    <t>F11-2</t>
  </si>
  <si>
    <t>F12-3</t>
  </si>
  <si>
    <t>F16-3</t>
  </si>
  <si>
    <t>F3-6</t>
  </si>
  <si>
    <t>F3-3</t>
  </si>
  <si>
    <t>F3-5</t>
  </si>
  <si>
    <t>F3-7</t>
  </si>
  <si>
    <t>F6-4</t>
  </si>
  <si>
    <t>F7-2</t>
  </si>
  <si>
    <t>F5-4</t>
  </si>
  <si>
    <t>F7-1</t>
  </si>
  <si>
    <t>F9-3</t>
  </si>
  <si>
    <t>F3-8</t>
  </si>
  <si>
    <t>F5-6</t>
  </si>
  <si>
    <t>F7-4</t>
  </si>
  <si>
    <t>F9-4</t>
  </si>
  <si>
    <t>F14-4</t>
  </si>
  <si>
    <t>F16-4</t>
  </si>
  <si>
    <t>F8-4</t>
  </si>
  <si>
    <t>F6-3</t>
  </si>
  <si>
    <t>F8-5</t>
  </si>
  <si>
    <t>F5-5</t>
  </si>
  <si>
    <t>F3-4</t>
  </si>
  <si>
    <t>F6-5</t>
  </si>
  <si>
    <t>F6-6</t>
  </si>
  <si>
    <t>F3-1</t>
  </si>
  <si>
    <t>Count of Sample ID</t>
  </si>
  <si>
    <t>F3-2</t>
  </si>
  <si>
    <t xml:space="preserve">Water </t>
  </si>
  <si>
    <t>D) is sensor from SS</t>
  </si>
  <si>
    <t>pH</t>
  </si>
  <si>
    <t>F15-3</t>
  </si>
  <si>
    <t>F10-1</t>
  </si>
  <si>
    <t>F12-4</t>
  </si>
  <si>
    <t>F5-1</t>
  </si>
  <si>
    <t>F4-6</t>
  </si>
  <si>
    <t>F4-1</t>
  </si>
  <si>
    <t>F4-2</t>
  </si>
  <si>
    <t>F13-4</t>
  </si>
  <si>
    <t>F9-2</t>
  </si>
  <si>
    <t>F8-1</t>
  </si>
  <si>
    <t>F15-4</t>
  </si>
  <si>
    <t>F13-3</t>
  </si>
  <si>
    <t>F10-4</t>
  </si>
  <si>
    <t>F14-3</t>
  </si>
  <si>
    <t>F4-5</t>
  </si>
  <si>
    <t>F4-3</t>
  </si>
  <si>
    <t>F4-4</t>
  </si>
  <si>
    <t>F10-6</t>
  </si>
  <si>
    <t>F6-2</t>
  </si>
  <si>
    <t>F10-3</t>
  </si>
  <si>
    <t>F4-7</t>
  </si>
  <si>
    <t>F10-2</t>
  </si>
  <si>
    <t>F9-1</t>
  </si>
  <si>
    <t>F11-1</t>
  </si>
  <si>
    <t>F8-6</t>
  </si>
  <si>
    <t>F9-5</t>
  </si>
  <si>
    <t>F6-1</t>
  </si>
  <si>
    <t>F11-4</t>
  </si>
  <si>
    <t>F7-5</t>
  </si>
  <si>
    <t>F9-6</t>
  </si>
  <si>
    <t>F7-6</t>
  </si>
  <si>
    <t>F8-7</t>
  </si>
  <si>
    <t>F10-5</t>
  </si>
  <si>
    <t>F5-2</t>
  </si>
  <si>
    <t>F4-8</t>
  </si>
  <si>
    <t>F8-2</t>
  </si>
  <si>
    <t>F11-5</t>
  </si>
  <si>
    <t>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</si>
</sst>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8"/>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left" vertical="top" wrapText="1"/>
    </xf>
    <xf numFmtId="0" fontId="0" fillId="0" borderId="0" xfId="0" applyAlignment="1">
      <alignment horizontal="left" vertical="top" wrapText="1"/>
    </xf>
    <xf numFmtId="14" fontId="0" fillId="0" borderId="0" xfId="0" applyNumberFormat="1" applyAlignment="1">
      <alignment horizontal="left" vertical="top" wrapText="1"/>
    </xf>
    <xf numFmtId="0" fontId="3" fillId="0" borderId="0" xfId="0" applyFont="1" applyAlignment="1">
      <alignment horizontal="left" vertical="top" wrapText="1"/>
    </xf>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[Gambia_Raw_Data_2024.xlsx]Pivot Chart!PivotTable2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c:f>
              <c:strCache>
                <c:ptCount val="1"/>
                <c:pt idx="0">
                  <c:v>Average of Average</c:v>
                </c:pt>
              </c:strCache>
            </c:strRef>
          </c:tx>
          <c:spPr>
            <a:solidFill>
              <a:schemeClr val="accent1"/>
            </a:solidFill>
            <a:ln>
              <a:noFill/>
            </a:ln>
            <a:effectLst/>
          </c:spPr>
          <c:invertIfNegative val="0"/>
          <c:cat>
            <c:strRef>
              <c:f>'Pivot Chart'!$A$4:$A$21</c:f>
              <c:strCache>
                <c:ptCount val="17"/>
                <c:pt idx="0">
                  <c:v>(blank)</c:v>
                </c:pt>
                <c:pt idx="1">
                  <c:v>1</c:v>
                </c:pt>
                <c:pt idx="2">
                  <c:v>10</c:v>
                </c:pt>
                <c:pt idx="3">
                  <c:v>12</c:v>
                </c:pt>
                <c:pt idx="4">
                  <c:v>13</c:v>
                </c:pt>
                <c:pt idx="5">
                  <c:v>14</c:v>
                </c:pt>
                <c:pt idx="6">
                  <c:v>15</c:v>
                </c:pt>
                <c:pt idx="7">
                  <c:v>16</c:v>
                </c:pt>
                <c:pt idx="8">
                  <c:v>2</c:v>
                </c:pt>
                <c:pt idx="9">
                  <c:v>3</c:v>
                </c:pt>
                <c:pt idx="10">
                  <c:v>4</c:v>
                </c:pt>
                <c:pt idx="11">
                  <c:v>5</c:v>
                </c:pt>
                <c:pt idx="12">
                  <c:v>6</c:v>
                </c:pt>
                <c:pt idx="13">
                  <c:v>7</c:v>
                </c:pt>
                <c:pt idx="14">
                  <c:v>8</c:v>
                </c:pt>
                <c:pt idx="15">
                  <c:v>9</c:v>
                </c:pt>
                <c:pt idx="16">
                  <c:v>11</c:v>
                </c:pt>
              </c:strCache>
            </c:strRef>
          </c:cat>
          <c:val>
            <c:numRef>
              <c:f>'Pivot Chart'!$B$4:$B$21</c:f>
              <c:numCache>
                <c:formatCode>General</c:formatCode>
                <c:ptCount val="17"/>
                <c:pt idx="1">
                  <c:v>4.9861111111111116</c:v>
                </c:pt>
                <c:pt idx="2">
                  <c:v>5.1587499999999995</c:v>
                </c:pt>
                <c:pt idx="3">
                  <c:v>5.2166666666666668</c:v>
                </c:pt>
                <c:pt idx="4">
                  <c:v>5.6375000000000002</c:v>
                </c:pt>
                <c:pt idx="5">
                  <c:v>5.4624999999999995</c:v>
                </c:pt>
                <c:pt idx="6">
                  <c:v>5.3962500000000002</c:v>
                </c:pt>
                <c:pt idx="7">
                  <c:v>6.0916666666666668</c:v>
                </c:pt>
                <c:pt idx="8">
                  <c:v>4.6761111111111111</c:v>
                </c:pt>
                <c:pt idx="9">
                  <c:v>5.1606249999999996</c:v>
                </c:pt>
                <c:pt idx="10">
                  <c:v>5.0428125000000001</c:v>
                </c:pt>
                <c:pt idx="11">
                  <c:v>4.5819444444444448</c:v>
                </c:pt>
                <c:pt idx="12">
                  <c:v>4.9219444444444447</c:v>
                </c:pt>
                <c:pt idx="13">
                  <c:v>4.8816666666666668</c:v>
                </c:pt>
                <c:pt idx="14">
                  <c:v>5.1437500000000007</c:v>
                </c:pt>
                <c:pt idx="15">
                  <c:v>4.8274999999999997</c:v>
                </c:pt>
                <c:pt idx="16">
                  <c:v>5.5758333333333328</c:v>
                </c:pt>
              </c:numCache>
            </c:numRef>
          </c:val>
          <c:extLst>
            <c:ext xmlns:c16="http://schemas.microsoft.com/office/drawing/2014/chart" uri="{C3380CC4-5D6E-409C-BE32-E72D297353CC}">
              <c16:uniqueId val="{00000000-5510-EB44-9464-A2649E09D216}"/>
            </c:ext>
          </c:extLst>
        </c:ser>
        <c:ser>
          <c:idx val="1"/>
          <c:order val="1"/>
          <c:tx>
            <c:strRef>
              <c:f>'Pivot Chart'!$C$3</c:f>
              <c:strCache>
                <c:ptCount val="1"/>
                <c:pt idx="0">
                  <c:v>Count of Sample ID</c:v>
                </c:pt>
              </c:strCache>
            </c:strRef>
          </c:tx>
          <c:spPr>
            <a:solidFill>
              <a:schemeClr val="accent2"/>
            </a:solidFill>
            <a:ln>
              <a:noFill/>
            </a:ln>
            <a:effectLst/>
          </c:spPr>
          <c:invertIfNegative val="0"/>
          <c:cat>
            <c:strRef>
              <c:f>'Pivot Chart'!$A$4:$A$21</c:f>
              <c:strCache>
                <c:ptCount val="17"/>
                <c:pt idx="0">
                  <c:v>(blank)</c:v>
                </c:pt>
                <c:pt idx="1">
                  <c:v>1</c:v>
                </c:pt>
                <c:pt idx="2">
                  <c:v>10</c:v>
                </c:pt>
                <c:pt idx="3">
                  <c:v>12</c:v>
                </c:pt>
                <c:pt idx="4">
                  <c:v>13</c:v>
                </c:pt>
                <c:pt idx="5">
                  <c:v>14</c:v>
                </c:pt>
                <c:pt idx="6">
                  <c:v>15</c:v>
                </c:pt>
                <c:pt idx="7">
                  <c:v>16</c:v>
                </c:pt>
                <c:pt idx="8">
                  <c:v>2</c:v>
                </c:pt>
                <c:pt idx="9">
                  <c:v>3</c:v>
                </c:pt>
                <c:pt idx="10">
                  <c:v>4</c:v>
                </c:pt>
                <c:pt idx="11">
                  <c:v>5</c:v>
                </c:pt>
                <c:pt idx="12">
                  <c:v>6</c:v>
                </c:pt>
                <c:pt idx="13">
                  <c:v>7</c:v>
                </c:pt>
                <c:pt idx="14">
                  <c:v>8</c:v>
                </c:pt>
                <c:pt idx="15">
                  <c:v>9</c:v>
                </c:pt>
                <c:pt idx="16">
                  <c:v>11</c:v>
                </c:pt>
              </c:strCache>
            </c:strRef>
          </c:cat>
          <c:val>
            <c:numRef>
              <c:f>'Pivot Chart'!$C$4:$C$21</c:f>
              <c:numCache>
                <c:formatCode>General</c:formatCode>
                <c:ptCount val="17"/>
                <c:pt idx="1">
                  <c:v>12</c:v>
                </c:pt>
                <c:pt idx="2">
                  <c:v>6</c:v>
                </c:pt>
                <c:pt idx="3">
                  <c:v>2</c:v>
                </c:pt>
                <c:pt idx="4">
                  <c:v>2</c:v>
                </c:pt>
                <c:pt idx="5">
                  <c:v>2</c:v>
                </c:pt>
                <c:pt idx="6">
                  <c:v>2</c:v>
                </c:pt>
                <c:pt idx="7">
                  <c:v>2</c:v>
                </c:pt>
                <c:pt idx="8">
                  <c:v>6</c:v>
                </c:pt>
                <c:pt idx="9">
                  <c:v>8</c:v>
                </c:pt>
                <c:pt idx="10">
                  <c:v>8</c:v>
                </c:pt>
                <c:pt idx="11">
                  <c:v>6</c:v>
                </c:pt>
                <c:pt idx="12">
                  <c:v>6</c:v>
                </c:pt>
                <c:pt idx="13">
                  <c:v>6</c:v>
                </c:pt>
                <c:pt idx="14">
                  <c:v>6</c:v>
                </c:pt>
                <c:pt idx="15">
                  <c:v>6</c:v>
                </c:pt>
                <c:pt idx="16">
                  <c:v>6</c:v>
                </c:pt>
              </c:numCache>
            </c:numRef>
          </c:val>
          <c:extLst>
            <c:ext xmlns:c16="http://schemas.microsoft.com/office/drawing/2014/chart" uri="{C3380CC4-5D6E-409C-BE32-E72D297353CC}">
              <c16:uniqueId val="{00000001-5510-EB44-9464-A2649E09D216}"/>
            </c:ext>
          </c:extLst>
        </c:ser>
        <c:dLbls>
          <c:showLegendKey val="0"/>
          <c:showVal val="0"/>
          <c:showCatName val="0"/>
          <c:showSerName val="0"/>
          <c:showPercent val="0"/>
          <c:showBubbleSize val="0"/>
        </c:dLbls>
        <c:gapWidth val="219"/>
        <c:overlap val="-27"/>
        <c:axId val="1983360480"/>
        <c:axId val="1982999488"/>
      </c:barChart>
      <c:catAx>
        <c:axId val="198336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999488"/>
        <c:crosses val="autoZero"/>
        <c:auto val="1"/>
        <c:lblAlgn val="ctr"/>
        <c:lblOffset val="100"/>
        <c:noMultiLvlLbl val="0"/>
      </c:catAx>
      <c:valAx>
        <c:axId val="198299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36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63500</xdr:colOff>
      <xdr:row>13</xdr:row>
      <xdr:rowOff>127000</xdr:rowOff>
    </xdr:from>
    <xdr:to>
      <xdr:col>9</xdr:col>
      <xdr:colOff>508000</xdr:colOff>
      <xdr:row>27</xdr:row>
      <xdr:rowOff>25400</xdr:rowOff>
    </xdr:to>
    <xdr:graphicFrame macro="">
      <xdr:nvGraphicFramePr>
        <xdr:cNvPr id="3" name="Chart 2">
          <a:extLst>
            <a:ext uri="{FF2B5EF4-FFF2-40B4-BE49-F238E27FC236}">
              <a16:creationId xmlns:a16="http://schemas.microsoft.com/office/drawing/2014/main" id="{98873CD6-98AD-26EE-BA6E-4149300E6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n Treanore" refreshedDate="45666.01581365741" createdVersion="8" refreshedVersion="8" minRefreshableVersion="3" recordCount="88" xr:uid="{4088EF39-A781-4D4F-940A-7B11FFBD585C}">
  <cacheSource type="worksheet">
    <worksheetSource ref="A1:N1048576" sheet="Raw Data"/>
  </cacheSource>
  <cacheFields count="14">
    <cacheField name="Record ID" numFmtId="0">
      <sharedItems containsString="0" containsBlank="1" containsNumber="1" containsInteger="1" minValue="1" maxValue="23"/>
    </cacheField>
    <cacheField name="Sample ID" numFmtId="0">
      <sharedItems containsBlank="1"/>
    </cacheField>
    <cacheField name="Date" numFmtId="0">
      <sharedItems containsNonDate="0" containsDate="1" containsString="0" containsBlank="1" minDate="2025-03-01T00:00:00" maxDate="2025-04-02T00:00:00"/>
    </cacheField>
    <cacheField name="Region" numFmtId="0">
      <sharedItems containsString="0" containsBlank="1" containsNumber="1" containsInteger="1" minValue="6" maxValue="6"/>
    </cacheField>
    <cacheField name="Farm" numFmtId="0">
      <sharedItems containsString="0" containsBlank="1" containsNumber="1" containsInteger="1" minValue="1" maxValue="16" count="17">
        <n v="1"/>
        <n v="10"/>
        <n v="11"/>
        <n v="12"/>
        <n v="13"/>
        <n v="14"/>
        <n v="15"/>
        <n v="16"/>
        <n v="2"/>
        <n v="3"/>
        <n v="4"/>
        <n v="5"/>
        <n v="6"/>
        <n v="7"/>
        <n v="8"/>
        <n v="9"/>
        <m/>
      </sharedItems>
    </cacheField>
    <cacheField name="Farmer" numFmtId="0">
      <sharedItems containsBlank="1"/>
    </cacheField>
    <cacheField name="pH 1 (A)" numFmtId="0">
      <sharedItems containsString="0" containsBlank="1" containsNumber="1" minValue="3.2" maxValue="6.2"/>
    </cacheField>
    <cacheField name="pH 2 (B)" numFmtId="0">
      <sharedItems containsString="0" containsBlank="1" containsNumber="1" minValue="3.7" maxValue="6.2"/>
    </cacheField>
    <cacheField name="pH 3 ( C ) " numFmtId="0">
      <sharedItems containsString="0" containsBlank="1" containsNumber="1" minValue="4.2" maxValue="6.24"/>
    </cacheField>
    <cacheField name="pH (D)" numFmtId="0">
      <sharedItems containsString="0" containsBlank="1" containsNumber="1" minValue="4.2" maxValue="5.9"/>
    </cacheField>
    <cacheField name="Average" numFmtId="0">
      <sharedItems containsString="0" containsBlank="1" containsNumber="1" minValue="3.8266666666666667" maxValue="6.2"/>
    </cacheField>
    <cacheField name="Bottle ID" numFmtId="0">
      <sharedItems containsBlank="1" containsMixedTypes="1" containsNumber="1" containsInteger="1" minValue="1" maxValue="10"/>
    </cacheField>
    <cacheField name="Soil Compaction" numFmtId="0">
      <sharedItems containsNonDate="0" containsString="0" containsBlank="1"/>
    </cacheField>
    <cacheField name="Not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n v="1"/>
    <s v="F1-1"/>
    <d v="2025-03-01T00:00:00"/>
    <n v="6"/>
    <x v="0"/>
    <s v="Bolongba drameh"/>
    <n v="5.3"/>
    <n v="4.9000000000000004"/>
    <n v="5.3"/>
    <m/>
    <n v="5.166666666666667"/>
    <s v="Field"/>
    <m/>
    <m/>
  </r>
  <r>
    <n v="10"/>
    <s v="F1-10"/>
    <d v="2025-03-01T00:00:00"/>
    <n v="6"/>
    <x v="0"/>
    <s v="Bolongba drameh"/>
    <n v="5.6"/>
    <n v="5.5"/>
    <n v="5.35"/>
    <m/>
    <n v="5.4833333333333334"/>
    <s v="Field"/>
    <m/>
    <m/>
  </r>
  <r>
    <n v="11"/>
    <s v="F1-11"/>
    <d v="2025-03-01T00:00:00"/>
    <n v="6"/>
    <x v="0"/>
    <s v="Bolongba drameh"/>
    <n v="5.4"/>
    <n v="5.2"/>
    <n v="5.38"/>
    <m/>
    <n v="5.3266666666666671"/>
    <s v="Field"/>
    <m/>
    <m/>
  </r>
  <r>
    <n v="12"/>
    <s v="F1-12"/>
    <d v="2025-03-01T00:00:00"/>
    <n v="6"/>
    <x v="0"/>
    <s v="Bolongba drameh"/>
    <n v="4.7"/>
    <n v="4.4000000000000004"/>
    <n v="4.38"/>
    <m/>
    <n v="4.4933333333333332"/>
    <s v="Field"/>
    <m/>
    <m/>
  </r>
  <r>
    <n v="2"/>
    <s v="F1-2"/>
    <d v="2025-03-01T00:00:00"/>
    <n v="6"/>
    <x v="0"/>
    <s v="Bolongba drameh"/>
    <n v="4.8"/>
    <n v="4.7"/>
    <n v="4.75"/>
    <m/>
    <n v="4.75"/>
    <s v="Field"/>
    <m/>
    <m/>
  </r>
  <r>
    <n v="3"/>
    <s v="F1-3"/>
    <d v="2025-03-01T00:00:00"/>
    <n v="6"/>
    <x v="0"/>
    <s v="Bolongba drameh"/>
    <n v="4.8"/>
    <n v="4.5"/>
    <n v="4.5"/>
    <m/>
    <n v="4.6000000000000005"/>
    <s v="Field"/>
    <m/>
    <m/>
  </r>
  <r>
    <n v="4"/>
    <s v="F1-4"/>
    <d v="2025-03-01T00:00:00"/>
    <n v="6"/>
    <x v="0"/>
    <s v="Bolongba drameh"/>
    <n v="5.4"/>
    <n v="5.2"/>
    <n v="5.34"/>
    <m/>
    <n v="5.3133333333333335"/>
    <s v="Field"/>
    <m/>
    <m/>
  </r>
  <r>
    <n v="5"/>
    <s v="F1-5"/>
    <d v="2025-03-01T00:00:00"/>
    <n v="6"/>
    <x v="0"/>
    <s v="Bolongba drameh"/>
    <n v="4.5999999999999996"/>
    <n v="4.3"/>
    <n v="4.71"/>
    <m/>
    <n v="4.5366666666666662"/>
    <s v="Field"/>
    <m/>
    <m/>
  </r>
  <r>
    <n v="6"/>
    <s v="F1-6"/>
    <d v="2025-03-01T00:00:00"/>
    <n v="6"/>
    <x v="0"/>
    <s v="Bolongba drameh"/>
    <n v="4.9000000000000004"/>
    <n v="4.9000000000000004"/>
    <n v="5.22"/>
    <m/>
    <n v="5.0066666666666668"/>
    <s v="Field"/>
    <m/>
    <m/>
  </r>
  <r>
    <n v="7"/>
    <s v="F1-7"/>
    <d v="2025-03-01T00:00:00"/>
    <n v="6"/>
    <x v="0"/>
    <s v="Bolongba drameh"/>
    <n v="4.7"/>
    <n v="4.4000000000000004"/>
    <n v="4.96"/>
    <m/>
    <n v="4.6866666666666674"/>
    <s v="Field"/>
    <m/>
    <m/>
  </r>
  <r>
    <n v="8"/>
    <s v="F1-8"/>
    <d v="2025-03-01T00:00:00"/>
    <n v="6"/>
    <x v="0"/>
    <s v="Bolongba drameh"/>
    <n v="5.3"/>
    <n v="4.9000000000000004"/>
    <n v="5.3"/>
    <m/>
    <n v="5.166666666666667"/>
    <s v="Field"/>
    <m/>
    <m/>
  </r>
  <r>
    <n v="9"/>
    <s v="F1-9"/>
    <d v="2025-03-01T00:00:00"/>
    <n v="6"/>
    <x v="0"/>
    <s v="Bolongba drameh"/>
    <n v="5.5"/>
    <n v="5.0999999999999996"/>
    <n v="5.31"/>
    <m/>
    <n v="5.3033333333333337"/>
    <s v="Field"/>
    <m/>
    <m/>
  </r>
  <r>
    <m/>
    <s v="F10-1"/>
    <d v="2025-04-01T00:00:00"/>
    <m/>
    <x v="1"/>
    <m/>
    <n v="5.7"/>
    <n v="5.7"/>
    <n v="6.08"/>
    <n v="5.9"/>
    <n v="5.8450000000000006"/>
    <n v="7"/>
    <m/>
    <m/>
  </r>
  <r>
    <m/>
    <s v="F10-2"/>
    <d v="2025-04-01T00:00:00"/>
    <m/>
    <x v="1"/>
    <m/>
    <n v="5.3"/>
    <n v="5.3"/>
    <n v="5.51"/>
    <n v="5.4"/>
    <n v="5.3774999999999995"/>
    <n v="9"/>
    <m/>
    <m/>
  </r>
  <r>
    <m/>
    <s v="F10-3"/>
    <d v="2025-04-01T00:00:00"/>
    <m/>
    <x v="1"/>
    <m/>
    <n v="5.2"/>
    <n v="5"/>
    <n v="5.13"/>
    <n v="5.3"/>
    <n v="5.1574999999999998"/>
    <n v="9"/>
    <m/>
    <m/>
  </r>
  <r>
    <m/>
    <s v="F10-4"/>
    <d v="2025-04-01T00:00:00"/>
    <m/>
    <x v="1"/>
    <m/>
    <n v="5.4"/>
    <n v="5.6"/>
    <n v="5.72"/>
    <n v="5.5"/>
    <n v="5.5549999999999997"/>
    <n v="8"/>
    <m/>
    <m/>
  </r>
  <r>
    <m/>
    <s v="F10-5"/>
    <d v="2025-04-01T00:00:00"/>
    <m/>
    <x v="1"/>
    <m/>
    <n v="4.3"/>
    <n v="4.3"/>
    <n v="4.6500000000000004"/>
    <n v="4.4000000000000004"/>
    <n v="4.4124999999999996"/>
    <n v="9"/>
    <m/>
    <m/>
  </r>
  <r>
    <m/>
    <s v="F10-6"/>
    <d v="2025-04-01T00:00:00"/>
    <m/>
    <x v="1"/>
    <m/>
    <n v="4.5"/>
    <n v="4.4000000000000004"/>
    <n v="4.92"/>
    <n v="4.5999999999999996"/>
    <n v="4.6050000000000004"/>
    <n v="8"/>
    <m/>
    <m/>
  </r>
  <r>
    <m/>
    <s v="F11-1"/>
    <d v="2025-04-01T00:00:00"/>
    <m/>
    <x v="2"/>
    <m/>
    <n v="5.7"/>
    <n v="5.6"/>
    <n v="5.75"/>
    <n v="5.8"/>
    <n v="5.7125000000000004"/>
    <n v="9"/>
    <m/>
    <m/>
  </r>
  <r>
    <m/>
    <s v="F11-2"/>
    <d v="2025-04-01T00:00:00"/>
    <m/>
    <x v="2"/>
    <m/>
    <n v="5.9"/>
    <n v="5.9"/>
    <n v="6.07"/>
    <n v="5.9"/>
    <n v="5.9425000000000008"/>
    <n v="10"/>
    <m/>
    <m/>
  </r>
  <r>
    <m/>
    <s v="F11-3"/>
    <d v="2025-04-01T00:00:00"/>
    <m/>
    <x v="2"/>
    <m/>
    <n v="5.7"/>
    <n v="5.7"/>
    <n v="6.15"/>
    <n v="5.8"/>
    <n v="5.8375000000000004"/>
    <n v="10"/>
    <m/>
    <m/>
  </r>
  <r>
    <m/>
    <s v="F11-4"/>
    <d v="2025-04-01T00:00:00"/>
    <m/>
    <x v="2"/>
    <m/>
    <n v="5.8"/>
    <n v="5.6"/>
    <n v="6.24"/>
    <n v="5.8"/>
    <n v="5.86"/>
    <n v="10"/>
    <m/>
    <m/>
  </r>
  <r>
    <m/>
    <s v="F11-5"/>
    <d v="2025-04-01T00:00:00"/>
    <m/>
    <x v="2"/>
    <m/>
    <n v="4.5999999999999996"/>
    <n v="4.5"/>
    <n v="4.95"/>
    <n v="4.5999999999999996"/>
    <n v="4.6624999999999996"/>
    <n v="9"/>
    <m/>
    <m/>
  </r>
  <r>
    <m/>
    <s v="F11-6"/>
    <d v="2025-04-01T00:00:00"/>
    <m/>
    <x v="2"/>
    <m/>
    <n v="5.5"/>
    <n v="5.2"/>
    <n v="5.76"/>
    <n v="5.3"/>
    <n v="5.44"/>
    <n v="9"/>
    <m/>
    <m/>
  </r>
  <r>
    <n v="19"/>
    <s v="F12-3"/>
    <d v="2025-03-01T00:00:00"/>
    <n v="6"/>
    <x v="3"/>
    <m/>
    <n v="5"/>
    <n v="5"/>
    <n v="5.4"/>
    <m/>
    <n v="5.1333333333333337"/>
    <n v="1"/>
    <m/>
    <m/>
  </r>
  <r>
    <m/>
    <s v="F12-4"/>
    <d v="2025-04-01T00:00:00"/>
    <m/>
    <x v="3"/>
    <m/>
    <n v="5.0999999999999996"/>
    <n v="5.2"/>
    <n v="5.6"/>
    <n v="5.3"/>
    <n v="5.3"/>
    <n v="7"/>
    <m/>
    <m/>
  </r>
  <r>
    <m/>
    <s v="F13-3"/>
    <d v="2025-04-01T00:00:00"/>
    <m/>
    <x v="4"/>
    <m/>
    <n v="5.8"/>
    <n v="5.9"/>
    <n v="6.19"/>
    <n v="5.9"/>
    <n v="5.9474999999999998"/>
    <n v="8"/>
    <m/>
    <m/>
  </r>
  <r>
    <m/>
    <s v="F13-4"/>
    <d v="2025-04-01T00:00:00"/>
    <m/>
    <x v="4"/>
    <m/>
    <n v="5.2"/>
    <n v="5.2"/>
    <n v="5.61"/>
    <n v="5.3"/>
    <n v="5.3275000000000006"/>
    <n v="7"/>
    <m/>
    <m/>
  </r>
  <r>
    <m/>
    <s v="F14-3"/>
    <d v="2025-04-01T00:00:00"/>
    <m/>
    <x v="5"/>
    <m/>
    <n v="5.6"/>
    <n v="5.6"/>
    <n v="5.52"/>
    <n v="5.7"/>
    <n v="5.6049999999999995"/>
    <n v="8"/>
    <m/>
    <m/>
  </r>
  <r>
    <m/>
    <s v="F14-4"/>
    <d v="2025-04-01T00:00:00"/>
    <m/>
    <x v="5"/>
    <m/>
    <n v="5.3"/>
    <n v="5.0999999999999996"/>
    <n v="5.56"/>
    <m/>
    <n v="5.3199999999999994"/>
    <n v="3"/>
    <m/>
    <m/>
  </r>
  <r>
    <m/>
    <s v="F15-3"/>
    <d v="2025-04-01T00:00:00"/>
    <m/>
    <x v="6"/>
    <m/>
    <n v="5.4"/>
    <n v="5.5"/>
    <n v="5.95"/>
    <n v="5.7"/>
    <n v="5.6375000000000002"/>
    <n v="7"/>
    <m/>
    <m/>
  </r>
  <r>
    <m/>
    <s v="F15-4"/>
    <d v="2025-04-01T00:00:00"/>
    <m/>
    <x v="6"/>
    <m/>
    <n v="5.0999999999999996"/>
    <n v="5.0999999999999996"/>
    <n v="5.32"/>
    <n v="5.0999999999999996"/>
    <n v="5.1549999999999994"/>
    <n v="8"/>
    <m/>
    <m/>
  </r>
  <r>
    <n v="20"/>
    <s v="F16-3"/>
    <d v="2025-03-01T00:00:00"/>
    <n v="6"/>
    <x v="7"/>
    <m/>
    <n v="6.2"/>
    <n v="6.2"/>
    <n v="6.2"/>
    <m/>
    <n v="6.2"/>
    <n v="1"/>
    <m/>
    <m/>
  </r>
  <r>
    <m/>
    <s v="F16-4"/>
    <d v="2025-04-01T00:00:00"/>
    <m/>
    <x v="7"/>
    <m/>
    <n v="6"/>
    <n v="5.9"/>
    <n v="6.05"/>
    <m/>
    <n v="5.9833333333333334"/>
    <n v="3"/>
    <m/>
    <m/>
  </r>
  <r>
    <n v="13"/>
    <s v="F2-1"/>
    <d v="2025-03-01T00:00:00"/>
    <n v="6"/>
    <x v="8"/>
    <s v="Lamin Jabbi"/>
    <n v="3.2"/>
    <n v="3.7"/>
    <n v="4.58"/>
    <m/>
    <n v="3.8266666666666667"/>
    <s v="Field"/>
    <m/>
    <m/>
  </r>
  <r>
    <n v="14"/>
    <s v="F2-2"/>
    <d v="2025-03-01T00:00:00"/>
    <n v="6"/>
    <x v="8"/>
    <s v="Lamin Jabbi"/>
    <n v="4.8"/>
    <n v="4.4000000000000004"/>
    <n v="5.16"/>
    <m/>
    <n v="4.7866666666666662"/>
    <s v="Field"/>
    <m/>
    <m/>
  </r>
  <r>
    <n v="15"/>
    <s v="F2-3"/>
    <d v="2025-03-01T00:00:00"/>
    <n v="6"/>
    <x v="8"/>
    <s v="Lamin Jabbi"/>
    <n v="5.6"/>
    <n v="5.3"/>
    <n v="5.87"/>
    <m/>
    <n v="5.59"/>
    <s v="Field"/>
    <m/>
    <m/>
  </r>
  <r>
    <n v="16"/>
    <s v="F2-4"/>
    <d v="2025-03-01T00:00:00"/>
    <n v="6"/>
    <x v="8"/>
    <s v="Lamin Jabbi"/>
    <n v="4.9000000000000004"/>
    <n v="4.5"/>
    <n v="5.26"/>
    <m/>
    <n v="4.8866666666666667"/>
    <s v="Field"/>
    <m/>
    <m/>
  </r>
  <r>
    <n v="17"/>
    <s v="F2-5"/>
    <d v="2025-03-01T00:00:00"/>
    <n v="6"/>
    <x v="8"/>
    <s v="Lamin Jabbi"/>
    <n v="4.8"/>
    <n v="4.4000000000000004"/>
    <n v="4.9000000000000004"/>
    <m/>
    <n v="4.7"/>
    <s v="Field"/>
    <m/>
    <m/>
  </r>
  <r>
    <n v="18"/>
    <s v="F2-6"/>
    <d v="2025-03-01T00:00:00"/>
    <n v="6"/>
    <x v="8"/>
    <s v="Lamin Jabbi"/>
    <n v="4.5999999999999996"/>
    <n v="4"/>
    <n v="4.2"/>
    <m/>
    <n v="4.2666666666666666"/>
    <s v="Field"/>
    <m/>
    <m/>
  </r>
  <r>
    <m/>
    <s v="F3-1"/>
    <d v="2025-04-01T00:00:00"/>
    <m/>
    <x v="9"/>
    <m/>
    <n v="5.0999999999999996"/>
    <n v="5.0999999999999996"/>
    <n v="5.67"/>
    <n v="5.2"/>
    <n v="5.2675000000000001"/>
    <n v="6"/>
    <m/>
    <m/>
  </r>
  <r>
    <n v="22"/>
    <s v="F3-2"/>
    <d v="2025-03-01T00:00:00"/>
    <n v="6"/>
    <x v="9"/>
    <m/>
    <n v="5.0999999999999996"/>
    <n v="5.0999999999999996"/>
    <n v="5.3"/>
    <m/>
    <n v="5.166666666666667"/>
    <n v="1"/>
    <m/>
    <m/>
  </r>
  <r>
    <m/>
    <s v="F3-3"/>
    <d v="2025-04-01T00:00:00"/>
    <m/>
    <x v="9"/>
    <m/>
    <n v="5.0999999999999996"/>
    <n v="5.0999999999999996"/>
    <n v="5.74"/>
    <n v="5.2"/>
    <n v="5.2850000000000001"/>
    <n v="6"/>
    <m/>
    <m/>
  </r>
  <r>
    <m/>
    <s v="F3-4"/>
    <d v="2025-04-01T00:00:00"/>
    <m/>
    <x v="9"/>
    <m/>
    <n v="4.7"/>
    <n v="4.5999999999999996"/>
    <n v="5.17"/>
    <n v="4.7"/>
    <n v="4.7925000000000004"/>
    <n v="6"/>
    <m/>
    <m/>
  </r>
  <r>
    <n v="23"/>
    <s v="F3-5"/>
    <d v="2025-03-01T00:00:00"/>
    <n v="6"/>
    <x v="9"/>
    <m/>
    <n v="5.4"/>
    <n v="5.4"/>
    <n v="5.7"/>
    <m/>
    <n v="5.5"/>
    <n v="1"/>
    <m/>
    <m/>
  </r>
  <r>
    <n v="21"/>
    <s v="F3-6"/>
    <d v="2025-03-01T00:00:00"/>
    <n v="6"/>
    <x v="9"/>
    <m/>
    <n v="4.4000000000000004"/>
    <n v="4.5"/>
    <n v="5"/>
    <m/>
    <n v="4.6333333333333337"/>
    <n v="1"/>
    <m/>
    <m/>
  </r>
  <r>
    <m/>
    <s v="F3-7"/>
    <d v="2025-04-01T00:00:00"/>
    <m/>
    <x v="9"/>
    <m/>
    <n v="5.3"/>
    <n v="5.4"/>
    <n v="5.7"/>
    <m/>
    <n v="5.4666666666666659"/>
    <n v="1"/>
    <m/>
    <m/>
  </r>
  <r>
    <m/>
    <s v="F3-8"/>
    <d v="2025-04-01T00:00:00"/>
    <m/>
    <x v="9"/>
    <m/>
    <n v="5.0999999999999996"/>
    <n v="5"/>
    <n v="5.42"/>
    <m/>
    <n v="5.1733333333333329"/>
    <n v="3"/>
    <m/>
    <m/>
  </r>
  <r>
    <m/>
    <s v="F4-1"/>
    <d v="2025-04-01T00:00:00"/>
    <m/>
    <x v="10"/>
    <m/>
    <n v="4.7"/>
    <n v="4.8"/>
    <n v="5.07"/>
    <n v="4.9000000000000004"/>
    <n v="4.8674999999999997"/>
    <n v="7"/>
    <m/>
    <m/>
  </r>
  <r>
    <m/>
    <s v="F4-2"/>
    <d v="2025-04-01T00:00:00"/>
    <m/>
    <x v="10"/>
    <m/>
    <n v="4.8"/>
    <n v="4.9000000000000004"/>
    <n v="5.29"/>
    <n v="4.9000000000000004"/>
    <n v="4.9725000000000001"/>
    <n v="7"/>
    <m/>
    <m/>
  </r>
  <r>
    <m/>
    <s v="F4-3"/>
    <d v="2025-04-01T00:00:00"/>
    <m/>
    <x v="10"/>
    <m/>
    <n v="4.9000000000000004"/>
    <n v="4.4000000000000004"/>
    <n v="5.46"/>
    <n v="4.9000000000000004"/>
    <n v="4.9150000000000009"/>
    <n v="8"/>
    <m/>
    <m/>
  </r>
  <r>
    <m/>
    <s v="F4-4"/>
    <d v="2025-04-01T00:00:00"/>
    <m/>
    <x v="10"/>
    <m/>
    <n v="5.3"/>
    <n v="5.3"/>
    <n v="5.7"/>
    <n v="5.3"/>
    <n v="5.4"/>
    <n v="8"/>
    <m/>
    <m/>
  </r>
  <r>
    <m/>
    <s v="F4-5"/>
    <d v="2025-04-01T00:00:00"/>
    <m/>
    <x v="10"/>
    <m/>
    <n v="5.8"/>
    <n v="5.8"/>
    <n v="5.93"/>
    <n v="5.9"/>
    <n v="5.8574999999999999"/>
    <n v="8"/>
    <m/>
    <m/>
  </r>
  <r>
    <m/>
    <s v="F4-6"/>
    <d v="2025-04-01T00:00:00"/>
    <m/>
    <x v="10"/>
    <m/>
    <n v="4.8"/>
    <n v="4.8"/>
    <n v="5.17"/>
    <n v="5"/>
    <n v="4.9424999999999999"/>
    <n v="7"/>
    <m/>
    <m/>
  </r>
  <r>
    <m/>
    <s v="F4-7"/>
    <d v="2025-04-01T00:00:00"/>
    <m/>
    <x v="10"/>
    <m/>
    <n v="4.3"/>
    <n v="4.3"/>
    <n v="4.43"/>
    <n v="4.3"/>
    <n v="4.3324999999999996"/>
    <n v="9"/>
    <m/>
    <m/>
  </r>
  <r>
    <m/>
    <s v="F4-8"/>
    <d v="2025-04-01T00:00:00"/>
    <m/>
    <x v="10"/>
    <m/>
    <n v="4.9000000000000004"/>
    <n v="4.9000000000000004"/>
    <n v="5.42"/>
    <n v="5"/>
    <n v="5.0549999999999997"/>
    <n v="9"/>
    <m/>
    <m/>
  </r>
  <r>
    <m/>
    <s v="F5-1"/>
    <d v="2025-04-01T00:00:00"/>
    <m/>
    <x v="11"/>
    <m/>
    <n v="4.3"/>
    <n v="4.3"/>
    <n v="4.72"/>
    <n v="4.5"/>
    <n v="4.4550000000000001"/>
    <n v="7"/>
    <m/>
    <m/>
  </r>
  <r>
    <m/>
    <s v="F5-2"/>
    <d v="2025-04-01T00:00:00"/>
    <m/>
    <x v="11"/>
    <m/>
    <n v="4.5"/>
    <n v="4.5"/>
    <n v="4.7699999999999996"/>
    <n v="4.5"/>
    <n v="4.5674999999999999"/>
    <n v="9"/>
    <m/>
    <m/>
  </r>
  <r>
    <m/>
    <s v="F5-3"/>
    <d v="2025-04-01T00:00:00"/>
    <m/>
    <x v="11"/>
    <m/>
    <n v="5.0999999999999996"/>
    <n v="5"/>
    <n v="5.6"/>
    <n v="5.0999999999999996"/>
    <n v="5.1999999999999993"/>
    <n v="10"/>
    <m/>
    <m/>
  </r>
  <r>
    <m/>
    <s v="F5-4"/>
    <d v="2025-04-01T00:00:00"/>
    <m/>
    <x v="11"/>
    <m/>
    <n v="4.2"/>
    <n v="4.0999999999999996"/>
    <n v="4.8"/>
    <m/>
    <n v="4.3666666666666671"/>
    <n v="3"/>
    <m/>
    <m/>
  </r>
  <r>
    <m/>
    <s v="F5-5"/>
    <d v="2025-04-01T00:00:00"/>
    <m/>
    <x v="11"/>
    <m/>
    <n v="4.2"/>
    <n v="4.2"/>
    <n v="4.93"/>
    <n v="4.2"/>
    <n v="4.3825000000000003"/>
    <n v="6"/>
    <m/>
    <m/>
  </r>
  <r>
    <m/>
    <s v="F5-6"/>
    <d v="2025-04-01T00:00:00"/>
    <m/>
    <x v="11"/>
    <m/>
    <n v="4.5"/>
    <n v="4.3"/>
    <n v="4.76"/>
    <m/>
    <n v="4.5200000000000005"/>
    <n v="3"/>
    <m/>
    <m/>
  </r>
  <r>
    <m/>
    <s v="F6-1"/>
    <d v="2025-04-01T00:00:00"/>
    <m/>
    <x v="12"/>
    <m/>
    <n v="4.5"/>
    <n v="4.5"/>
    <n v="5.01"/>
    <n v="4.5999999999999996"/>
    <n v="4.6524999999999999"/>
    <n v="9"/>
    <m/>
    <m/>
  </r>
  <r>
    <m/>
    <s v="F6-2"/>
    <d v="2025-04-01T00:00:00"/>
    <m/>
    <x v="12"/>
    <m/>
    <n v="4.7"/>
    <n v="4.5"/>
    <n v="4.92"/>
    <n v="4.8"/>
    <n v="4.7299999999999995"/>
    <n v="9"/>
    <m/>
    <m/>
  </r>
  <r>
    <m/>
    <s v="F6-3"/>
    <d v="2025-04-01T00:00:00"/>
    <m/>
    <x v="12"/>
    <m/>
    <n v="5.0999999999999996"/>
    <n v="4.9000000000000004"/>
    <n v="5.75"/>
    <n v="5.2"/>
    <n v="5.2374999999999998"/>
    <n v="6"/>
    <m/>
    <m/>
  </r>
  <r>
    <m/>
    <s v="F6-4"/>
    <d v="2025-04-01T00:00:00"/>
    <m/>
    <x v="12"/>
    <m/>
    <n v="5.2"/>
    <n v="5"/>
    <n v="5.6"/>
    <m/>
    <n v="5.2666666666666666"/>
    <n v="1"/>
    <m/>
    <m/>
  </r>
  <r>
    <m/>
    <s v="F6-5"/>
    <d v="2025-04-01T00:00:00"/>
    <m/>
    <x v="12"/>
    <m/>
    <n v="4.8"/>
    <n v="4.7"/>
    <n v="5.37"/>
    <n v="4.7"/>
    <n v="4.8925000000000001"/>
    <n v="6"/>
    <m/>
    <m/>
  </r>
  <r>
    <m/>
    <s v="F6-6"/>
    <d v="2025-04-01T00:00:00"/>
    <m/>
    <x v="12"/>
    <m/>
    <n v="4.5999999999999996"/>
    <n v="4.4000000000000004"/>
    <n v="5.41"/>
    <n v="4.5999999999999996"/>
    <n v="4.7524999999999995"/>
    <n v="6"/>
    <m/>
    <m/>
  </r>
  <r>
    <m/>
    <s v="F7-1"/>
    <d v="2025-04-01T00:00:00"/>
    <m/>
    <x v="13"/>
    <m/>
    <n v="5"/>
    <n v="5"/>
    <n v="5.38"/>
    <m/>
    <n v="5.126666666666666"/>
    <n v="3"/>
    <m/>
    <m/>
  </r>
  <r>
    <m/>
    <s v="F7-2"/>
    <d v="2025-04-01T00:00:00"/>
    <m/>
    <x v="13"/>
    <m/>
    <n v="4.8"/>
    <n v="4.5"/>
    <n v="5.2"/>
    <m/>
    <n v="4.833333333333333"/>
    <n v="1"/>
    <m/>
    <m/>
  </r>
  <r>
    <m/>
    <s v="F7-4"/>
    <d v="2025-04-01T00:00:00"/>
    <m/>
    <x v="13"/>
    <m/>
    <n v="4.9000000000000004"/>
    <n v="4.8"/>
    <n v="5"/>
    <m/>
    <n v="4.8999999999999995"/>
    <n v="3"/>
    <m/>
    <m/>
  </r>
  <r>
    <m/>
    <s v="F7-5"/>
    <d v="2025-04-01T00:00:00"/>
    <m/>
    <x v="13"/>
    <m/>
    <n v="4.5999999999999996"/>
    <n v="4.5999999999999996"/>
    <n v="5.19"/>
    <n v="4.5999999999999996"/>
    <n v="4.7475000000000005"/>
    <n v="10"/>
    <m/>
    <m/>
  </r>
  <r>
    <m/>
    <s v="F7-5"/>
    <d v="2025-04-01T00:00:00"/>
    <m/>
    <x v="13"/>
    <m/>
    <n v="4.9000000000000004"/>
    <n v="4.9000000000000004"/>
    <n v="5.3"/>
    <n v="5"/>
    <n v="5.0250000000000004"/>
    <n v="9"/>
    <m/>
    <m/>
  </r>
  <r>
    <m/>
    <s v="F7-6"/>
    <d v="2025-04-01T00:00:00"/>
    <m/>
    <x v="13"/>
    <m/>
    <n v="4.5999999999999996"/>
    <n v="4.4000000000000004"/>
    <n v="5.03"/>
    <n v="4.5999999999999996"/>
    <n v="4.6575000000000006"/>
    <n v="10"/>
    <m/>
    <m/>
  </r>
  <r>
    <m/>
    <s v="F8-1"/>
    <d v="2025-04-01T00:00:00"/>
    <m/>
    <x v="14"/>
    <m/>
    <n v="5.0999999999999996"/>
    <n v="5.0999999999999996"/>
    <n v="5.31"/>
    <n v="4.9000000000000004"/>
    <n v="5.1024999999999991"/>
    <n v="8"/>
    <m/>
    <m/>
  </r>
  <r>
    <m/>
    <s v="F8-2"/>
    <d v="2025-04-01T00:00:00"/>
    <m/>
    <x v="14"/>
    <m/>
    <n v="5.5"/>
    <n v="5.4"/>
    <n v="5.7"/>
    <n v="5.5"/>
    <n v="5.5250000000000004"/>
    <n v="9"/>
    <m/>
    <m/>
  </r>
  <r>
    <m/>
    <s v="F8-4"/>
    <d v="2025-04-01T00:00:00"/>
    <m/>
    <x v="14"/>
    <m/>
    <n v="4.9000000000000004"/>
    <n v="4.8"/>
    <n v="4.67"/>
    <m/>
    <n v="4.79"/>
    <n v="3"/>
    <m/>
    <m/>
  </r>
  <r>
    <m/>
    <s v="F8-5"/>
    <d v="2025-04-01T00:00:00"/>
    <m/>
    <x v="14"/>
    <m/>
    <n v="5.2"/>
    <n v="5.0999999999999996"/>
    <n v="5.88"/>
    <n v="5.4"/>
    <n v="5.3949999999999996"/>
    <n v="6"/>
    <m/>
    <m/>
  </r>
  <r>
    <m/>
    <s v="F8-6"/>
    <d v="2025-04-01T00:00:00"/>
    <m/>
    <x v="14"/>
    <m/>
    <n v="4.7"/>
    <n v="4.9000000000000004"/>
    <n v="5.3"/>
    <n v="4.9000000000000004"/>
    <n v="4.9500000000000011"/>
    <n v="9"/>
    <m/>
    <m/>
  </r>
  <r>
    <m/>
    <s v="F8-7"/>
    <d v="2025-04-01T00:00:00"/>
    <m/>
    <x v="14"/>
    <m/>
    <n v="5"/>
    <n v="4.9000000000000004"/>
    <n v="5.4"/>
    <n v="5.0999999999999996"/>
    <n v="5.0999999999999996"/>
    <n v="10"/>
    <m/>
    <m/>
  </r>
  <r>
    <m/>
    <s v="F9-1"/>
    <d v="2025-04-01T00:00:00"/>
    <m/>
    <x v="15"/>
    <m/>
    <n v="4.8"/>
    <n v="4.8"/>
    <n v="5.23"/>
    <n v="4.8"/>
    <n v="4.9074999999999998"/>
    <n v="9"/>
    <m/>
    <m/>
  </r>
  <r>
    <m/>
    <s v="F9-2"/>
    <d v="2025-04-01T00:00:00"/>
    <m/>
    <x v="15"/>
    <m/>
    <n v="4.5999999999999996"/>
    <n v="4.5999999999999996"/>
    <n v="5.08"/>
    <n v="4.5999999999999996"/>
    <n v="4.72"/>
    <n v="7"/>
    <m/>
    <m/>
  </r>
  <r>
    <m/>
    <s v="F9-3"/>
    <d v="2025-04-01T00:00:00"/>
    <m/>
    <x v="15"/>
    <m/>
    <n v="5.4"/>
    <n v="5.5"/>
    <n v="5.8"/>
    <m/>
    <n v="5.5666666666666664"/>
    <n v="3"/>
    <m/>
    <m/>
  </r>
  <r>
    <m/>
    <s v="F9-4"/>
    <d v="2025-04-01T00:00:00"/>
    <m/>
    <x v="15"/>
    <m/>
    <n v="4.5999999999999996"/>
    <n v="4.4000000000000004"/>
    <n v="4.8099999999999996"/>
    <m/>
    <n v="4.6033333333333326"/>
    <n v="3"/>
    <m/>
    <m/>
  </r>
  <r>
    <m/>
    <s v="F9-5"/>
    <d v="2025-04-01T00:00:00"/>
    <m/>
    <x v="15"/>
    <m/>
    <n v="4.4000000000000004"/>
    <n v="4.4000000000000004"/>
    <n v="4.8499999999999996"/>
    <n v="4.5"/>
    <n v="4.5374999999999996"/>
    <n v="9"/>
    <m/>
    <m/>
  </r>
  <r>
    <m/>
    <s v="F9-6"/>
    <d v="2025-04-01T00:00:00"/>
    <m/>
    <x v="15"/>
    <m/>
    <n v="4.4000000000000004"/>
    <n v="4.5"/>
    <n v="5.12"/>
    <n v="4.5"/>
    <n v="4.63"/>
    <n v="10"/>
    <m/>
    <m/>
  </r>
  <r>
    <m/>
    <m/>
    <m/>
    <m/>
    <x v="16"/>
    <m/>
    <m/>
    <m/>
    <m/>
    <m/>
    <m/>
    <m/>
    <m/>
    <m/>
  </r>
  <r>
    <m/>
    <m/>
    <m/>
    <m/>
    <x v="16"/>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AB22C6-6D50-E844-A65A-71C7D1BE8964}" name="PivotTable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21" firstHeaderRow="0" firstDataRow="1" firstDataCol="1"/>
  <pivotFields count="14">
    <pivotField showAll="0"/>
    <pivotField dataField="1" showAll="0"/>
    <pivotField showAll="0"/>
    <pivotField showAll="0"/>
    <pivotField axis="axisRow" showAll="0">
      <items count="18">
        <item x="16"/>
        <item x="0"/>
        <item x="1"/>
        <item x="3"/>
        <item x="4"/>
        <item x="5"/>
        <item x="6"/>
        <item x="7"/>
        <item x="8"/>
        <item x="9"/>
        <item x="10"/>
        <item x="11"/>
        <item x="12"/>
        <item x="13"/>
        <item x="14"/>
        <item x="15"/>
        <item x="2"/>
        <item t="default"/>
      </items>
    </pivotField>
    <pivotField showAll="0"/>
    <pivotField showAll="0"/>
    <pivotField showAll="0"/>
    <pivotField showAll="0"/>
    <pivotField showAll="0"/>
    <pivotField dataField="1" showAll="0"/>
    <pivotField showAll="0"/>
    <pivotField showAll="0"/>
    <pivotField showAll="0"/>
  </pivotFields>
  <rowFields count="1">
    <field x="4"/>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Average of Average" fld="10" subtotal="average" baseField="0" baseItem="0"/>
    <dataField name="Count of Sample ID" fld="1"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1731-995A-8545-AE4D-21B449F71753}">
  <dimension ref="A3:C21"/>
  <sheetViews>
    <sheetView tabSelected="1" topLeftCell="C13" zoomScale="253" zoomScaleNormal="100" workbookViewId="0">
      <selection activeCell="A3" sqref="A3:B21"/>
    </sheetView>
  </sheetViews>
  <sheetFormatPr baseColWidth="10" defaultRowHeight="16" x14ac:dyDescent="0.2"/>
  <cols>
    <col min="1" max="1" width="13" bestFit="1" customWidth="1"/>
    <col min="2" max="3" width="17" bestFit="1" customWidth="1"/>
    <col min="4" max="4" width="15.1640625" bestFit="1" customWidth="1"/>
  </cols>
  <sheetData>
    <row r="3" spans="1:3" x14ac:dyDescent="0.2">
      <c r="A3" s="3" t="s">
        <v>34</v>
      </c>
      <c r="B3" t="s">
        <v>37</v>
      </c>
      <c r="C3" t="s">
        <v>77</v>
      </c>
    </row>
    <row r="4" spans="1:3" x14ac:dyDescent="0.2">
      <c r="A4" s="4" t="s">
        <v>35</v>
      </c>
      <c r="B4" s="2"/>
      <c r="C4" s="2"/>
    </row>
    <row r="5" spans="1:3" x14ac:dyDescent="0.2">
      <c r="A5" s="4">
        <v>1</v>
      </c>
      <c r="B5" s="2">
        <v>4.9861111111111116</v>
      </c>
      <c r="C5" s="2">
        <v>12</v>
      </c>
    </row>
    <row r="6" spans="1:3" x14ac:dyDescent="0.2">
      <c r="A6" s="4">
        <v>10</v>
      </c>
      <c r="B6" s="2">
        <v>5.1587499999999995</v>
      </c>
      <c r="C6" s="2">
        <v>6</v>
      </c>
    </row>
    <row r="7" spans="1:3" x14ac:dyDescent="0.2">
      <c r="A7" s="4">
        <v>12</v>
      </c>
      <c r="B7" s="2">
        <v>5.2166666666666668</v>
      </c>
      <c r="C7" s="2">
        <v>2</v>
      </c>
    </row>
    <row r="8" spans="1:3" x14ac:dyDescent="0.2">
      <c r="A8" s="4">
        <v>13</v>
      </c>
      <c r="B8" s="2">
        <v>5.6375000000000002</v>
      </c>
      <c r="C8" s="2">
        <v>2</v>
      </c>
    </row>
    <row r="9" spans="1:3" x14ac:dyDescent="0.2">
      <c r="A9" s="4">
        <v>14</v>
      </c>
      <c r="B9" s="2">
        <v>5.4624999999999995</v>
      </c>
      <c r="C9" s="2">
        <v>2</v>
      </c>
    </row>
    <row r="10" spans="1:3" x14ac:dyDescent="0.2">
      <c r="A10" s="4">
        <v>15</v>
      </c>
      <c r="B10" s="2">
        <v>5.3962500000000002</v>
      </c>
      <c r="C10" s="2">
        <v>2</v>
      </c>
    </row>
    <row r="11" spans="1:3" x14ac:dyDescent="0.2">
      <c r="A11" s="4">
        <v>16</v>
      </c>
      <c r="B11" s="2">
        <v>6.0916666666666668</v>
      </c>
      <c r="C11" s="2">
        <v>2</v>
      </c>
    </row>
    <row r="12" spans="1:3" x14ac:dyDescent="0.2">
      <c r="A12" s="4">
        <v>2</v>
      </c>
      <c r="B12" s="2">
        <v>4.6761111111111111</v>
      </c>
      <c r="C12" s="2">
        <v>6</v>
      </c>
    </row>
    <row r="13" spans="1:3" x14ac:dyDescent="0.2">
      <c r="A13" s="4">
        <v>3</v>
      </c>
      <c r="B13" s="2">
        <v>5.1606249999999996</v>
      </c>
      <c r="C13" s="2">
        <v>8</v>
      </c>
    </row>
    <row r="14" spans="1:3" x14ac:dyDescent="0.2">
      <c r="A14" s="4">
        <v>4</v>
      </c>
      <c r="B14" s="2">
        <v>5.0428125000000001</v>
      </c>
      <c r="C14" s="2">
        <v>8</v>
      </c>
    </row>
    <row r="15" spans="1:3" x14ac:dyDescent="0.2">
      <c r="A15" s="4">
        <v>5</v>
      </c>
      <c r="B15" s="2">
        <v>4.5819444444444448</v>
      </c>
      <c r="C15" s="2">
        <v>6</v>
      </c>
    </row>
    <row r="16" spans="1:3" x14ac:dyDescent="0.2">
      <c r="A16" s="4">
        <v>6</v>
      </c>
      <c r="B16" s="2">
        <v>4.9219444444444447</v>
      </c>
      <c r="C16" s="2">
        <v>6</v>
      </c>
    </row>
    <row r="17" spans="1:3" x14ac:dyDescent="0.2">
      <c r="A17" s="4">
        <v>7</v>
      </c>
      <c r="B17" s="2">
        <v>4.8816666666666668</v>
      </c>
      <c r="C17" s="2">
        <v>6</v>
      </c>
    </row>
    <row r="18" spans="1:3" x14ac:dyDescent="0.2">
      <c r="A18" s="4">
        <v>8</v>
      </c>
      <c r="B18" s="2">
        <v>5.1437500000000007</v>
      </c>
      <c r="C18" s="2">
        <v>6</v>
      </c>
    </row>
    <row r="19" spans="1:3" x14ac:dyDescent="0.2">
      <c r="A19" s="4">
        <v>9</v>
      </c>
      <c r="B19" s="2">
        <v>4.8274999999999997</v>
      </c>
      <c r="C19" s="2">
        <v>6</v>
      </c>
    </row>
    <row r="20" spans="1:3" x14ac:dyDescent="0.2">
      <c r="A20" s="4">
        <v>11</v>
      </c>
      <c r="B20" s="2">
        <v>5.5758333333333328</v>
      </c>
      <c r="C20" s="2">
        <v>6</v>
      </c>
    </row>
    <row r="21" spans="1:3" x14ac:dyDescent="0.2">
      <c r="A21" s="4" t="s">
        <v>36</v>
      </c>
      <c r="B21" s="2">
        <v>5.0659883720930221</v>
      </c>
      <c r="C21" s="2">
        <v>86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AFA61-0960-A34A-ADED-2E97B51ED256}">
  <dimension ref="A1:N87"/>
  <sheetViews>
    <sheetView topLeftCell="A2" zoomScale="75" workbookViewId="0">
      <selection activeCell="E86" sqref="E86:E87"/>
    </sheetView>
  </sheetViews>
  <sheetFormatPr baseColWidth="10" defaultRowHeight="16" x14ac:dyDescent="0.2"/>
  <cols>
    <col min="5" max="5" width="10.83203125" style="2"/>
    <col min="6" max="6" width="16" customWidth="1"/>
    <col min="13" max="13" width="24.1640625" customWidth="1"/>
  </cols>
  <sheetData>
    <row r="1" spans="1:14" x14ac:dyDescent="0.2">
      <c r="A1" t="s">
        <v>0</v>
      </c>
      <c r="B1" t="s">
        <v>12</v>
      </c>
      <c r="C1" t="s">
        <v>1</v>
      </c>
      <c r="D1" t="s">
        <v>2</v>
      </c>
      <c r="E1" s="2" t="s">
        <v>3</v>
      </c>
      <c r="F1" t="s">
        <v>39</v>
      </c>
      <c r="G1" t="s">
        <v>4</v>
      </c>
      <c r="H1" t="s">
        <v>5</v>
      </c>
      <c r="I1" t="s">
        <v>7</v>
      </c>
      <c r="J1" t="s">
        <v>47</v>
      </c>
      <c r="K1" t="s">
        <v>33</v>
      </c>
      <c r="L1" t="s">
        <v>38</v>
      </c>
      <c r="M1" t="s">
        <v>42</v>
      </c>
      <c r="N1" t="s">
        <v>6</v>
      </c>
    </row>
    <row r="2" spans="1:14" x14ac:dyDescent="0.2">
      <c r="A2">
        <v>1</v>
      </c>
      <c r="B2" t="s">
        <v>14</v>
      </c>
      <c r="C2" s="1">
        <v>45717</v>
      </c>
      <c r="D2">
        <v>6</v>
      </c>
      <c r="E2" s="2">
        <v>1</v>
      </c>
      <c r="F2" t="s">
        <v>13</v>
      </c>
      <c r="G2">
        <v>5.3</v>
      </c>
      <c r="H2">
        <v>4.9000000000000004</v>
      </c>
      <c r="I2">
        <v>5.3</v>
      </c>
      <c r="K2">
        <f>AVERAGE(G2:I2)</f>
        <v>5.166666666666667</v>
      </c>
      <c r="L2" t="s">
        <v>119</v>
      </c>
    </row>
    <row r="3" spans="1:14" x14ac:dyDescent="0.2">
      <c r="A3">
        <v>10</v>
      </c>
      <c r="B3" t="s">
        <v>23</v>
      </c>
      <c r="C3" s="1">
        <v>45717</v>
      </c>
      <c r="D3">
        <v>6</v>
      </c>
      <c r="E3" s="2">
        <v>1</v>
      </c>
      <c r="F3" t="s">
        <v>13</v>
      </c>
      <c r="G3">
        <v>5.6</v>
      </c>
      <c r="H3">
        <v>5.5</v>
      </c>
      <c r="I3">
        <v>5.35</v>
      </c>
      <c r="K3">
        <f>AVERAGE(G3:I3)</f>
        <v>5.4833333333333334</v>
      </c>
      <c r="L3" t="s">
        <v>119</v>
      </c>
    </row>
    <row r="4" spans="1:14" x14ac:dyDescent="0.2">
      <c r="A4">
        <v>11</v>
      </c>
      <c r="B4" t="s">
        <v>24</v>
      </c>
      <c r="C4" s="1">
        <v>45717</v>
      </c>
      <c r="D4">
        <v>6</v>
      </c>
      <c r="E4" s="2">
        <v>1</v>
      </c>
      <c r="F4" t="s">
        <v>13</v>
      </c>
      <c r="G4">
        <v>5.4</v>
      </c>
      <c r="H4">
        <v>5.2</v>
      </c>
      <c r="I4">
        <v>5.38</v>
      </c>
      <c r="K4">
        <f>AVERAGE(G4:I4)</f>
        <v>5.3266666666666671</v>
      </c>
      <c r="L4" t="s">
        <v>119</v>
      </c>
    </row>
    <row r="5" spans="1:14" x14ac:dyDescent="0.2">
      <c r="A5">
        <v>12</v>
      </c>
      <c r="B5" t="s">
        <v>25</v>
      </c>
      <c r="C5" s="1">
        <v>45717</v>
      </c>
      <c r="D5">
        <v>6</v>
      </c>
      <c r="E5" s="2">
        <v>1</v>
      </c>
      <c r="F5" t="s">
        <v>13</v>
      </c>
      <c r="G5">
        <v>4.7</v>
      </c>
      <c r="H5">
        <v>4.4000000000000004</v>
      </c>
      <c r="I5">
        <v>4.38</v>
      </c>
      <c r="K5">
        <f>AVERAGE(G5:I5)</f>
        <v>4.4933333333333332</v>
      </c>
      <c r="L5" t="s">
        <v>119</v>
      </c>
    </row>
    <row r="6" spans="1:14" x14ac:dyDescent="0.2">
      <c r="A6">
        <v>2</v>
      </c>
      <c r="B6" t="s">
        <v>15</v>
      </c>
      <c r="C6" s="1">
        <v>45717</v>
      </c>
      <c r="D6">
        <v>6</v>
      </c>
      <c r="E6" s="2">
        <v>1</v>
      </c>
      <c r="F6" t="s">
        <v>13</v>
      </c>
      <c r="G6">
        <v>4.8</v>
      </c>
      <c r="H6">
        <v>4.7</v>
      </c>
      <c r="I6">
        <v>4.75</v>
      </c>
      <c r="K6">
        <f>AVERAGE(G6:I6)</f>
        <v>4.75</v>
      </c>
      <c r="L6" t="s">
        <v>119</v>
      </c>
    </row>
    <row r="7" spans="1:14" x14ac:dyDescent="0.2">
      <c r="A7">
        <v>3</v>
      </c>
      <c r="B7" t="s">
        <v>16</v>
      </c>
      <c r="C7" s="1">
        <v>45717</v>
      </c>
      <c r="D7">
        <v>6</v>
      </c>
      <c r="E7" s="2">
        <v>1</v>
      </c>
      <c r="F7" t="s">
        <v>13</v>
      </c>
      <c r="G7">
        <v>4.8</v>
      </c>
      <c r="H7">
        <v>4.5</v>
      </c>
      <c r="I7">
        <v>4.5</v>
      </c>
      <c r="K7">
        <f>AVERAGE(G7:I7)</f>
        <v>4.6000000000000005</v>
      </c>
      <c r="L7" t="s">
        <v>119</v>
      </c>
    </row>
    <row r="8" spans="1:14" x14ac:dyDescent="0.2">
      <c r="A8">
        <v>4</v>
      </c>
      <c r="B8" t="s">
        <v>17</v>
      </c>
      <c r="C8" s="1">
        <v>45717</v>
      </c>
      <c r="D8">
        <v>6</v>
      </c>
      <c r="E8" s="2">
        <v>1</v>
      </c>
      <c r="F8" t="s">
        <v>13</v>
      </c>
      <c r="G8">
        <v>5.4</v>
      </c>
      <c r="H8">
        <v>5.2</v>
      </c>
      <c r="I8">
        <v>5.34</v>
      </c>
      <c r="K8">
        <f>AVERAGE(G8:I8)</f>
        <v>5.3133333333333335</v>
      </c>
      <c r="L8" t="s">
        <v>119</v>
      </c>
    </row>
    <row r="9" spans="1:14" x14ac:dyDescent="0.2">
      <c r="A9">
        <v>5</v>
      </c>
      <c r="B9" t="s">
        <v>18</v>
      </c>
      <c r="C9" s="1">
        <v>45717</v>
      </c>
      <c r="D9">
        <v>6</v>
      </c>
      <c r="E9" s="2">
        <v>1</v>
      </c>
      <c r="F9" t="s">
        <v>13</v>
      </c>
      <c r="G9">
        <v>4.5999999999999996</v>
      </c>
      <c r="H9">
        <v>4.3</v>
      </c>
      <c r="I9">
        <v>4.71</v>
      </c>
      <c r="K9">
        <f>AVERAGE(G9:I9)</f>
        <v>4.5366666666666662</v>
      </c>
      <c r="L9" t="s">
        <v>119</v>
      </c>
    </row>
    <row r="10" spans="1:14" x14ac:dyDescent="0.2">
      <c r="A10">
        <v>6</v>
      </c>
      <c r="B10" t="s">
        <v>19</v>
      </c>
      <c r="C10" s="1">
        <v>45717</v>
      </c>
      <c r="D10">
        <v>6</v>
      </c>
      <c r="E10" s="2">
        <v>1</v>
      </c>
      <c r="F10" t="s">
        <v>13</v>
      </c>
      <c r="G10">
        <v>4.9000000000000004</v>
      </c>
      <c r="H10">
        <v>4.9000000000000004</v>
      </c>
      <c r="I10">
        <v>5.22</v>
      </c>
      <c r="K10">
        <f>AVERAGE(G10:I10)</f>
        <v>5.0066666666666668</v>
      </c>
      <c r="L10" t="s">
        <v>119</v>
      </c>
    </row>
    <row r="11" spans="1:14" x14ac:dyDescent="0.2">
      <c r="A11">
        <v>7</v>
      </c>
      <c r="B11" t="s">
        <v>20</v>
      </c>
      <c r="C11" s="1">
        <v>45717</v>
      </c>
      <c r="D11">
        <v>6</v>
      </c>
      <c r="E11" s="2">
        <v>1</v>
      </c>
      <c r="F11" t="s">
        <v>13</v>
      </c>
      <c r="G11">
        <v>4.7</v>
      </c>
      <c r="H11">
        <v>4.4000000000000004</v>
      </c>
      <c r="I11">
        <v>4.96</v>
      </c>
      <c r="K11">
        <f>AVERAGE(G11:I11)</f>
        <v>4.6866666666666674</v>
      </c>
      <c r="L11" t="s">
        <v>119</v>
      </c>
    </row>
    <row r="12" spans="1:14" x14ac:dyDescent="0.2">
      <c r="A12">
        <v>8</v>
      </c>
      <c r="B12" t="s">
        <v>21</v>
      </c>
      <c r="C12" s="1">
        <v>45717</v>
      </c>
      <c r="D12">
        <v>6</v>
      </c>
      <c r="E12" s="2">
        <v>1</v>
      </c>
      <c r="F12" t="s">
        <v>13</v>
      </c>
      <c r="G12">
        <v>5.3</v>
      </c>
      <c r="H12">
        <v>4.9000000000000004</v>
      </c>
      <c r="I12">
        <v>5.3</v>
      </c>
      <c r="K12">
        <f>AVERAGE(G12:I12)</f>
        <v>5.166666666666667</v>
      </c>
      <c r="L12" t="s">
        <v>119</v>
      </c>
    </row>
    <row r="13" spans="1:14" x14ac:dyDescent="0.2">
      <c r="A13">
        <v>9</v>
      </c>
      <c r="B13" t="s">
        <v>22</v>
      </c>
      <c r="C13" s="1">
        <v>45717</v>
      </c>
      <c r="D13">
        <v>6</v>
      </c>
      <c r="E13" s="2">
        <v>1</v>
      </c>
      <c r="F13" t="s">
        <v>13</v>
      </c>
      <c r="G13">
        <v>5.5</v>
      </c>
      <c r="H13">
        <v>5.0999999999999996</v>
      </c>
      <c r="I13">
        <v>5.31</v>
      </c>
      <c r="K13">
        <f>AVERAGE(G13:I13)</f>
        <v>5.3033333333333337</v>
      </c>
      <c r="L13" t="s">
        <v>119</v>
      </c>
    </row>
    <row r="14" spans="1:14" x14ac:dyDescent="0.2">
      <c r="B14" t="s">
        <v>83</v>
      </c>
      <c r="C14" s="1">
        <v>45748</v>
      </c>
      <c r="E14" s="2">
        <v>10</v>
      </c>
      <c r="G14">
        <v>5.7</v>
      </c>
      <c r="H14">
        <v>5.7</v>
      </c>
      <c r="I14">
        <v>6.08</v>
      </c>
      <c r="J14">
        <v>5.9</v>
      </c>
      <c r="K14">
        <f>AVERAGE(G14:J14)</f>
        <v>5.8450000000000006</v>
      </c>
      <c r="L14">
        <v>7</v>
      </c>
    </row>
    <row r="15" spans="1:14" x14ac:dyDescent="0.2">
      <c r="B15" t="s">
        <v>103</v>
      </c>
      <c r="C15" s="1">
        <v>45748</v>
      </c>
      <c r="E15" s="2">
        <v>10</v>
      </c>
      <c r="G15">
        <v>5.3</v>
      </c>
      <c r="H15">
        <v>5.3</v>
      </c>
      <c r="I15">
        <v>5.51</v>
      </c>
      <c r="J15">
        <v>5.4</v>
      </c>
      <c r="K15">
        <f>AVERAGE(G15:J15)</f>
        <v>5.3774999999999995</v>
      </c>
      <c r="L15">
        <v>9</v>
      </c>
    </row>
    <row r="16" spans="1:14" x14ac:dyDescent="0.2">
      <c r="B16" t="s">
        <v>101</v>
      </c>
      <c r="C16" s="1">
        <v>45748</v>
      </c>
      <c r="E16" s="2">
        <v>10</v>
      </c>
      <c r="G16">
        <v>5.2</v>
      </c>
      <c r="H16">
        <v>5</v>
      </c>
      <c r="I16">
        <v>5.13</v>
      </c>
      <c r="J16">
        <v>5.3</v>
      </c>
      <c r="K16">
        <f>AVERAGE(G16:J16)</f>
        <v>5.1574999999999998</v>
      </c>
      <c r="L16">
        <v>9</v>
      </c>
    </row>
    <row r="17" spans="1:12" x14ac:dyDescent="0.2">
      <c r="B17" t="s">
        <v>94</v>
      </c>
      <c r="C17" s="1">
        <v>45748</v>
      </c>
      <c r="E17" s="2">
        <v>10</v>
      </c>
      <c r="G17">
        <v>5.4</v>
      </c>
      <c r="H17">
        <v>5.6</v>
      </c>
      <c r="I17">
        <v>5.72</v>
      </c>
      <c r="J17">
        <v>5.5</v>
      </c>
      <c r="K17">
        <f>AVERAGE(G17:J17)</f>
        <v>5.5549999999999997</v>
      </c>
      <c r="L17">
        <v>8</v>
      </c>
    </row>
    <row r="18" spans="1:12" x14ac:dyDescent="0.2">
      <c r="B18" t="s">
        <v>114</v>
      </c>
      <c r="C18" s="1">
        <v>45748</v>
      </c>
      <c r="E18" s="2">
        <v>10</v>
      </c>
      <c r="G18">
        <v>4.3</v>
      </c>
      <c r="H18">
        <v>4.3</v>
      </c>
      <c r="I18">
        <v>4.6500000000000004</v>
      </c>
      <c r="J18">
        <v>4.4000000000000004</v>
      </c>
      <c r="K18">
        <f>AVERAGE(G18:J18)</f>
        <v>4.4124999999999996</v>
      </c>
      <c r="L18">
        <v>9</v>
      </c>
    </row>
    <row r="19" spans="1:12" x14ac:dyDescent="0.2">
      <c r="B19" t="s">
        <v>99</v>
      </c>
      <c r="C19" s="1">
        <v>45748</v>
      </c>
      <c r="E19" s="2">
        <v>10</v>
      </c>
      <c r="G19">
        <v>4.5</v>
      </c>
      <c r="H19">
        <v>4.4000000000000004</v>
      </c>
      <c r="I19">
        <v>4.92</v>
      </c>
      <c r="J19">
        <v>4.5999999999999996</v>
      </c>
      <c r="K19">
        <f>AVERAGE(G19:J19)</f>
        <v>4.6050000000000004</v>
      </c>
      <c r="L19">
        <v>8</v>
      </c>
    </row>
    <row r="20" spans="1:12" x14ac:dyDescent="0.2">
      <c r="B20" t="s">
        <v>105</v>
      </c>
      <c r="C20" s="1">
        <v>45748</v>
      </c>
      <c r="E20" s="2">
        <v>11</v>
      </c>
      <c r="G20">
        <v>5.7</v>
      </c>
      <c r="H20">
        <v>5.6</v>
      </c>
      <c r="I20">
        <v>5.75</v>
      </c>
      <c r="J20">
        <v>5.8</v>
      </c>
      <c r="K20">
        <f>AVERAGE(G20:J20)</f>
        <v>5.7125000000000004</v>
      </c>
      <c r="L20">
        <v>9</v>
      </c>
    </row>
    <row r="21" spans="1:12" x14ac:dyDescent="0.2">
      <c r="B21" t="s">
        <v>51</v>
      </c>
      <c r="C21" s="1">
        <v>45748</v>
      </c>
      <c r="E21" s="2">
        <v>11</v>
      </c>
      <c r="G21">
        <v>5.9</v>
      </c>
      <c r="H21">
        <v>5.9</v>
      </c>
      <c r="I21">
        <v>6.07</v>
      </c>
      <c r="J21">
        <v>5.9</v>
      </c>
      <c r="K21">
        <f>AVERAGE(G21:J21)</f>
        <v>5.9425000000000008</v>
      </c>
      <c r="L21">
        <v>10</v>
      </c>
    </row>
    <row r="22" spans="1:12" x14ac:dyDescent="0.2">
      <c r="B22" s="9" t="s">
        <v>49</v>
      </c>
      <c r="C22" s="1">
        <v>45748</v>
      </c>
      <c r="E22" s="2">
        <v>11</v>
      </c>
      <c r="G22">
        <v>5.7</v>
      </c>
      <c r="H22">
        <v>5.7</v>
      </c>
      <c r="I22">
        <v>6.15</v>
      </c>
      <c r="J22">
        <v>5.8</v>
      </c>
      <c r="K22">
        <f>AVERAGE(G22:J22)</f>
        <v>5.8375000000000004</v>
      </c>
      <c r="L22">
        <v>10</v>
      </c>
    </row>
    <row r="23" spans="1:12" x14ac:dyDescent="0.2">
      <c r="B23" s="9" t="s">
        <v>109</v>
      </c>
      <c r="C23" s="1">
        <v>45748</v>
      </c>
      <c r="E23" s="2">
        <v>11</v>
      </c>
      <c r="G23">
        <v>5.8</v>
      </c>
      <c r="H23">
        <v>5.6</v>
      </c>
      <c r="I23">
        <v>6.24</v>
      </c>
      <c r="J23">
        <v>5.8</v>
      </c>
      <c r="K23">
        <f>AVERAGE(G23:J23)</f>
        <v>5.86</v>
      </c>
      <c r="L23">
        <v>10</v>
      </c>
    </row>
    <row r="24" spans="1:12" x14ac:dyDescent="0.2">
      <c r="B24" t="s">
        <v>118</v>
      </c>
      <c r="C24" s="1">
        <v>45748</v>
      </c>
      <c r="E24" s="2">
        <v>11</v>
      </c>
      <c r="G24">
        <v>4.5999999999999996</v>
      </c>
      <c r="H24">
        <v>4.5</v>
      </c>
      <c r="I24">
        <v>4.95</v>
      </c>
      <c r="J24">
        <v>4.5999999999999996</v>
      </c>
      <c r="K24">
        <f>AVERAGE(G24:J24)</f>
        <v>4.6624999999999996</v>
      </c>
      <c r="L24">
        <v>9</v>
      </c>
    </row>
    <row r="25" spans="1:12" x14ac:dyDescent="0.2">
      <c r="B25" t="s">
        <v>48</v>
      </c>
      <c r="C25" s="1">
        <v>45748</v>
      </c>
      <c r="E25" s="2">
        <v>11</v>
      </c>
      <c r="G25">
        <v>5.5</v>
      </c>
      <c r="H25">
        <v>5.2</v>
      </c>
      <c r="I25">
        <v>5.76</v>
      </c>
      <c r="J25">
        <v>5.3</v>
      </c>
      <c r="K25">
        <f>AVERAGE(G25:J25)</f>
        <v>5.44</v>
      </c>
      <c r="L25">
        <v>9</v>
      </c>
    </row>
    <row r="26" spans="1:12" x14ac:dyDescent="0.2">
      <c r="A26">
        <v>19</v>
      </c>
      <c r="B26" t="s">
        <v>52</v>
      </c>
      <c r="C26" s="1">
        <v>45717</v>
      </c>
      <c r="D26">
        <v>6</v>
      </c>
      <c r="E26" s="2">
        <v>12</v>
      </c>
      <c r="G26">
        <v>5</v>
      </c>
      <c r="H26">
        <v>5</v>
      </c>
      <c r="I26">
        <v>5.4</v>
      </c>
      <c r="K26">
        <f>AVERAGE(G26:I26)</f>
        <v>5.1333333333333337</v>
      </c>
      <c r="L26">
        <v>1</v>
      </c>
    </row>
    <row r="27" spans="1:12" x14ac:dyDescent="0.2">
      <c r="B27" t="s">
        <v>84</v>
      </c>
      <c r="C27" s="1">
        <v>45748</v>
      </c>
      <c r="E27" s="2">
        <v>12</v>
      </c>
      <c r="G27">
        <v>5.0999999999999996</v>
      </c>
      <c r="H27">
        <v>5.2</v>
      </c>
      <c r="I27">
        <v>5.6</v>
      </c>
      <c r="J27">
        <v>5.3</v>
      </c>
      <c r="K27">
        <f>AVERAGE(G27:J27)</f>
        <v>5.3</v>
      </c>
      <c r="L27">
        <v>7</v>
      </c>
    </row>
    <row r="28" spans="1:12" x14ac:dyDescent="0.2">
      <c r="B28" t="s">
        <v>93</v>
      </c>
      <c r="C28" s="1">
        <v>45748</v>
      </c>
      <c r="E28" s="2">
        <v>13</v>
      </c>
      <c r="G28">
        <v>5.8</v>
      </c>
      <c r="H28">
        <v>5.9</v>
      </c>
      <c r="I28">
        <v>6.19</v>
      </c>
      <c r="J28">
        <v>5.9</v>
      </c>
      <c r="K28">
        <f>AVERAGE(G28:J28)</f>
        <v>5.9474999999999998</v>
      </c>
      <c r="L28">
        <v>8</v>
      </c>
    </row>
    <row r="29" spans="1:12" x14ac:dyDescent="0.2">
      <c r="B29" t="s">
        <v>89</v>
      </c>
      <c r="C29" s="1">
        <v>45748</v>
      </c>
      <c r="E29" s="2">
        <v>13</v>
      </c>
      <c r="G29">
        <v>5.2</v>
      </c>
      <c r="H29">
        <v>5.2</v>
      </c>
      <c r="I29">
        <v>5.61</v>
      </c>
      <c r="J29">
        <v>5.3</v>
      </c>
      <c r="K29">
        <f>AVERAGE(G29:J29)</f>
        <v>5.3275000000000006</v>
      </c>
      <c r="L29">
        <v>7</v>
      </c>
    </row>
    <row r="30" spans="1:12" x14ac:dyDescent="0.2">
      <c r="B30" t="s">
        <v>95</v>
      </c>
      <c r="C30" s="1">
        <v>45748</v>
      </c>
      <c r="E30" s="2">
        <v>14</v>
      </c>
      <c r="G30">
        <v>5.6</v>
      </c>
      <c r="H30">
        <v>5.6</v>
      </c>
      <c r="I30">
        <v>5.52</v>
      </c>
      <c r="J30">
        <v>5.7</v>
      </c>
      <c r="K30">
        <f>AVERAGE(G30:J30)</f>
        <v>5.6049999999999995</v>
      </c>
      <c r="L30">
        <v>8</v>
      </c>
    </row>
    <row r="31" spans="1:12" x14ac:dyDescent="0.2">
      <c r="B31" t="s">
        <v>67</v>
      </c>
      <c r="C31" s="1">
        <v>45748</v>
      </c>
      <c r="E31" s="2">
        <v>14</v>
      </c>
      <c r="G31">
        <v>5.3</v>
      </c>
      <c r="H31">
        <v>5.0999999999999996</v>
      </c>
      <c r="I31">
        <v>5.56</v>
      </c>
      <c r="K31">
        <f>AVERAGE(G31:I31)</f>
        <v>5.3199999999999994</v>
      </c>
      <c r="L31">
        <v>3</v>
      </c>
    </row>
    <row r="32" spans="1:12" x14ac:dyDescent="0.2">
      <c r="B32" t="s">
        <v>82</v>
      </c>
      <c r="C32" s="1">
        <v>45748</v>
      </c>
      <c r="E32" s="2">
        <v>15</v>
      </c>
      <c r="G32">
        <v>5.4</v>
      </c>
      <c r="H32">
        <v>5.5</v>
      </c>
      <c r="I32">
        <v>5.95</v>
      </c>
      <c r="J32">
        <v>5.7</v>
      </c>
      <c r="K32">
        <f>AVERAGE(G32:J32)</f>
        <v>5.6375000000000002</v>
      </c>
      <c r="L32">
        <v>7</v>
      </c>
    </row>
    <row r="33" spans="1:12" x14ac:dyDescent="0.2">
      <c r="B33" t="s">
        <v>92</v>
      </c>
      <c r="C33" s="1">
        <v>45748</v>
      </c>
      <c r="E33" s="2">
        <v>15</v>
      </c>
      <c r="G33">
        <v>5.0999999999999996</v>
      </c>
      <c r="H33">
        <v>5.0999999999999996</v>
      </c>
      <c r="I33">
        <v>5.32</v>
      </c>
      <c r="J33">
        <v>5.0999999999999996</v>
      </c>
      <c r="K33">
        <f>AVERAGE(G33:J33)</f>
        <v>5.1549999999999994</v>
      </c>
      <c r="L33">
        <v>8</v>
      </c>
    </row>
    <row r="34" spans="1:12" x14ac:dyDescent="0.2">
      <c r="A34">
        <v>20</v>
      </c>
      <c r="B34" t="s">
        <v>53</v>
      </c>
      <c r="C34" s="1">
        <v>45717</v>
      </c>
      <c r="D34">
        <v>6</v>
      </c>
      <c r="E34" s="2">
        <v>16</v>
      </c>
      <c r="G34">
        <v>6.2</v>
      </c>
      <c r="H34">
        <v>6.2</v>
      </c>
      <c r="I34">
        <v>6.2</v>
      </c>
      <c r="K34">
        <f>AVERAGE(G34:I34)</f>
        <v>6.2</v>
      </c>
      <c r="L34">
        <v>1</v>
      </c>
    </row>
    <row r="35" spans="1:12" x14ac:dyDescent="0.2">
      <c r="B35" t="s">
        <v>68</v>
      </c>
      <c r="C35" s="1">
        <v>45748</v>
      </c>
      <c r="E35" s="2">
        <v>16</v>
      </c>
      <c r="G35">
        <v>6</v>
      </c>
      <c r="H35">
        <v>5.9</v>
      </c>
      <c r="I35">
        <v>6.05</v>
      </c>
      <c r="K35">
        <f>AVERAGE(G35:I35)</f>
        <v>5.9833333333333334</v>
      </c>
      <c r="L35">
        <v>3</v>
      </c>
    </row>
    <row r="36" spans="1:12" x14ac:dyDescent="0.2">
      <c r="A36">
        <v>13</v>
      </c>
      <c r="B36" t="s">
        <v>26</v>
      </c>
      <c r="C36" s="1">
        <v>45717</v>
      </c>
      <c r="D36">
        <v>6</v>
      </c>
      <c r="E36" s="2">
        <v>2</v>
      </c>
      <c r="F36" t="s">
        <v>32</v>
      </c>
      <c r="G36">
        <v>3.2</v>
      </c>
      <c r="H36">
        <v>3.7</v>
      </c>
      <c r="I36">
        <v>4.58</v>
      </c>
      <c r="K36">
        <f>AVERAGE(G36:I36)</f>
        <v>3.8266666666666667</v>
      </c>
      <c r="L36" t="s">
        <v>119</v>
      </c>
    </row>
    <row r="37" spans="1:12" x14ac:dyDescent="0.2">
      <c r="A37">
        <v>14</v>
      </c>
      <c r="B37" t="s">
        <v>27</v>
      </c>
      <c r="C37" s="1">
        <v>45717</v>
      </c>
      <c r="D37">
        <v>6</v>
      </c>
      <c r="E37" s="2">
        <v>2</v>
      </c>
      <c r="F37" t="s">
        <v>32</v>
      </c>
      <c r="G37">
        <v>4.8</v>
      </c>
      <c r="H37">
        <v>4.4000000000000004</v>
      </c>
      <c r="I37">
        <v>5.16</v>
      </c>
      <c r="K37">
        <f>AVERAGE(G37:I37)</f>
        <v>4.7866666666666662</v>
      </c>
      <c r="L37" t="s">
        <v>119</v>
      </c>
    </row>
    <row r="38" spans="1:12" x14ac:dyDescent="0.2">
      <c r="A38">
        <v>15</v>
      </c>
      <c r="B38" t="s">
        <v>28</v>
      </c>
      <c r="C38" s="1">
        <v>45717</v>
      </c>
      <c r="D38">
        <v>6</v>
      </c>
      <c r="E38" s="2">
        <v>2</v>
      </c>
      <c r="F38" t="s">
        <v>32</v>
      </c>
      <c r="G38">
        <v>5.6</v>
      </c>
      <c r="H38">
        <v>5.3</v>
      </c>
      <c r="I38">
        <v>5.87</v>
      </c>
      <c r="K38">
        <f>AVERAGE(G38:I38)</f>
        <v>5.59</v>
      </c>
      <c r="L38" t="s">
        <v>119</v>
      </c>
    </row>
    <row r="39" spans="1:12" x14ac:dyDescent="0.2">
      <c r="A39">
        <v>16</v>
      </c>
      <c r="B39" t="s">
        <v>29</v>
      </c>
      <c r="C39" s="1">
        <v>45717</v>
      </c>
      <c r="D39">
        <v>6</v>
      </c>
      <c r="E39" s="2">
        <v>2</v>
      </c>
      <c r="F39" t="s">
        <v>32</v>
      </c>
      <c r="G39">
        <v>4.9000000000000004</v>
      </c>
      <c r="H39">
        <v>4.5</v>
      </c>
      <c r="I39">
        <v>5.26</v>
      </c>
      <c r="K39">
        <f>AVERAGE(G39:I39)</f>
        <v>4.8866666666666667</v>
      </c>
      <c r="L39" t="s">
        <v>119</v>
      </c>
    </row>
    <row r="40" spans="1:12" x14ac:dyDescent="0.2">
      <c r="A40">
        <v>17</v>
      </c>
      <c r="B40" t="s">
        <v>30</v>
      </c>
      <c r="C40" s="1">
        <v>45717</v>
      </c>
      <c r="D40">
        <v>6</v>
      </c>
      <c r="E40" s="2">
        <v>2</v>
      </c>
      <c r="F40" t="s">
        <v>32</v>
      </c>
      <c r="G40">
        <v>4.8</v>
      </c>
      <c r="H40">
        <v>4.4000000000000004</v>
      </c>
      <c r="I40">
        <v>4.9000000000000004</v>
      </c>
      <c r="K40">
        <f>AVERAGE(G40:I40)</f>
        <v>4.7</v>
      </c>
      <c r="L40" t="s">
        <v>119</v>
      </c>
    </row>
    <row r="41" spans="1:12" x14ac:dyDescent="0.2">
      <c r="A41">
        <v>18</v>
      </c>
      <c r="B41" t="s">
        <v>31</v>
      </c>
      <c r="C41" s="1">
        <v>45717</v>
      </c>
      <c r="D41">
        <v>6</v>
      </c>
      <c r="E41" s="2">
        <v>2</v>
      </c>
      <c r="F41" t="s">
        <v>32</v>
      </c>
      <c r="G41">
        <v>4.5999999999999996</v>
      </c>
      <c r="H41">
        <v>4</v>
      </c>
      <c r="I41">
        <v>4.2</v>
      </c>
      <c r="K41">
        <f>AVERAGE(G41:I41)</f>
        <v>4.2666666666666666</v>
      </c>
      <c r="L41" t="s">
        <v>119</v>
      </c>
    </row>
    <row r="42" spans="1:12" x14ac:dyDescent="0.2">
      <c r="B42" t="s">
        <v>76</v>
      </c>
      <c r="C42" s="1">
        <v>45748</v>
      </c>
      <c r="E42" s="2">
        <v>3</v>
      </c>
      <c r="G42">
        <v>5.0999999999999996</v>
      </c>
      <c r="H42">
        <v>5.0999999999999996</v>
      </c>
      <c r="I42">
        <v>5.67</v>
      </c>
      <c r="J42">
        <v>5.2</v>
      </c>
      <c r="K42">
        <f>AVERAGE(G42:J42)</f>
        <v>5.2675000000000001</v>
      </c>
      <c r="L42">
        <v>6</v>
      </c>
    </row>
    <row r="43" spans="1:12" x14ac:dyDescent="0.2">
      <c r="A43">
        <v>22</v>
      </c>
      <c r="B43" t="s">
        <v>78</v>
      </c>
      <c r="C43" s="1">
        <v>45717</v>
      </c>
      <c r="D43">
        <v>6</v>
      </c>
      <c r="E43" s="2">
        <v>3</v>
      </c>
      <c r="G43">
        <v>5.0999999999999996</v>
      </c>
      <c r="H43">
        <v>5.0999999999999996</v>
      </c>
      <c r="I43">
        <v>5.3</v>
      </c>
      <c r="K43">
        <f>AVERAGE(G43:I43)</f>
        <v>5.166666666666667</v>
      </c>
      <c r="L43">
        <v>1</v>
      </c>
    </row>
    <row r="44" spans="1:12" x14ac:dyDescent="0.2">
      <c r="B44" t="s">
        <v>55</v>
      </c>
      <c r="C44" s="1">
        <v>45748</v>
      </c>
      <c r="E44" s="2">
        <v>3</v>
      </c>
      <c r="G44">
        <v>5.0999999999999996</v>
      </c>
      <c r="H44">
        <v>5.0999999999999996</v>
      </c>
      <c r="I44">
        <v>5.74</v>
      </c>
      <c r="J44">
        <v>5.2</v>
      </c>
      <c r="K44">
        <f>AVERAGE(G44:J44)</f>
        <v>5.2850000000000001</v>
      </c>
      <c r="L44">
        <v>6</v>
      </c>
    </row>
    <row r="45" spans="1:12" x14ac:dyDescent="0.2">
      <c r="B45" t="s">
        <v>73</v>
      </c>
      <c r="C45" s="1">
        <v>45748</v>
      </c>
      <c r="E45" s="2">
        <v>3</v>
      </c>
      <c r="G45">
        <v>4.7</v>
      </c>
      <c r="H45">
        <v>4.5999999999999996</v>
      </c>
      <c r="I45">
        <v>5.17</v>
      </c>
      <c r="J45">
        <v>4.7</v>
      </c>
      <c r="K45">
        <f>AVERAGE(G45:J45)</f>
        <v>4.7925000000000004</v>
      </c>
      <c r="L45">
        <v>6</v>
      </c>
    </row>
    <row r="46" spans="1:12" x14ac:dyDescent="0.2">
      <c r="A46">
        <v>23</v>
      </c>
      <c r="B46" t="s">
        <v>56</v>
      </c>
      <c r="C46" s="1">
        <v>45717</v>
      </c>
      <c r="D46">
        <v>6</v>
      </c>
      <c r="E46" s="2">
        <v>3</v>
      </c>
      <c r="G46">
        <v>5.4</v>
      </c>
      <c r="H46">
        <v>5.4</v>
      </c>
      <c r="I46">
        <v>5.7</v>
      </c>
      <c r="K46">
        <f>AVERAGE(G46:I46)</f>
        <v>5.5</v>
      </c>
      <c r="L46">
        <v>1</v>
      </c>
    </row>
    <row r="47" spans="1:12" x14ac:dyDescent="0.2">
      <c r="A47">
        <v>21</v>
      </c>
      <c r="B47" t="s">
        <v>54</v>
      </c>
      <c r="C47" s="1">
        <v>45717</v>
      </c>
      <c r="D47">
        <v>6</v>
      </c>
      <c r="E47" s="2">
        <v>3</v>
      </c>
      <c r="G47">
        <v>4.4000000000000004</v>
      </c>
      <c r="H47">
        <v>4.5</v>
      </c>
      <c r="I47">
        <v>5</v>
      </c>
      <c r="K47">
        <f>AVERAGE(G47:I47)</f>
        <v>4.6333333333333337</v>
      </c>
      <c r="L47">
        <v>1</v>
      </c>
    </row>
    <row r="48" spans="1:12" x14ac:dyDescent="0.2">
      <c r="B48" t="s">
        <v>57</v>
      </c>
      <c r="C48" s="1">
        <v>45748</v>
      </c>
      <c r="E48" s="2">
        <v>3</v>
      </c>
      <c r="G48">
        <v>5.3</v>
      </c>
      <c r="H48">
        <v>5.4</v>
      </c>
      <c r="I48">
        <v>5.7</v>
      </c>
      <c r="K48">
        <f>AVERAGE(G48:I48)</f>
        <v>5.4666666666666659</v>
      </c>
      <c r="L48">
        <v>1</v>
      </c>
    </row>
    <row r="49" spans="2:12" x14ac:dyDescent="0.2">
      <c r="B49" t="s">
        <v>63</v>
      </c>
      <c r="C49" s="1">
        <v>45748</v>
      </c>
      <c r="E49" s="2">
        <v>3</v>
      </c>
      <c r="G49">
        <v>5.0999999999999996</v>
      </c>
      <c r="H49">
        <v>5</v>
      </c>
      <c r="I49">
        <v>5.42</v>
      </c>
      <c r="K49">
        <f>AVERAGE(G49:I49)</f>
        <v>5.1733333333333329</v>
      </c>
      <c r="L49">
        <v>3</v>
      </c>
    </row>
    <row r="50" spans="2:12" x14ac:dyDescent="0.2">
      <c r="B50" t="s">
        <v>87</v>
      </c>
      <c r="C50" s="1">
        <v>45748</v>
      </c>
      <c r="E50" s="2">
        <v>4</v>
      </c>
      <c r="G50">
        <v>4.7</v>
      </c>
      <c r="H50">
        <v>4.8</v>
      </c>
      <c r="I50">
        <v>5.07</v>
      </c>
      <c r="J50">
        <v>4.9000000000000004</v>
      </c>
      <c r="K50">
        <f>AVERAGE(G50:J50)</f>
        <v>4.8674999999999997</v>
      </c>
      <c r="L50">
        <v>7</v>
      </c>
    </row>
    <row r="51" spans="2:12" x14ac:dyDescent="0.2">
      <c r="B51" t="s">
        <v>88</v>
      </c>
      <c r="C51" s="1">
        <v>45748</v>
      </c>
      <c r="E51" s="2">
        <v>4</v>
      </c>
      <c r="G51">
        <v>4.8</v>
      </c>
      <c r="H51">
        <v>4.9000000000000004</v>
      </c>
      <c r="I51">
        <v>5.29</v>
      </c>
      <c r="J51">
        <v>4.9000000000000004</v>
      </c>
      <c r="K51">
        <f>AVERAGE(G51:J51)</f>
        <v>4.9725000000000001</v>
      </c>
      <c r="L51">
        <v>7</v>
      </c>
    </row>
    <row r="52" spans="2:12" x14ac:dyDescent="0.2">
      <c r="B52" t="s">
        <v>97</v>
      </c>
      <c r="C52" s="1">
        <v>45748</v>
      </c>
      <c r="E52" s="2">
        <v>4</v>
      </c>
      <c r="G52">
        <v>4.9000000000000004</v>
      </c>
      <c r="H52">
        <v>4.4000000000000004</v>
      </c>
      <c r="I52">
        <v>5.46</v>
      </c>
      <c r="J52">
        <v>4.9000000000000004</v>
      </c>
      <c r="K52">
        <f>AVERAGE(G52:J52)</f>
        <v>4.9150000000000009</v>
      </c>
      <c r="L52">
        <v>8</v>
      </c>
    </row>
    <row r="53" spans="2:12" x14ac:dyDescent="0.2">
      <c r="B53" t="s">
        <v>98</v>
      </c>
      <c r="C53" s="1">
        <v>45748</v>
      </c>
      <c r="E53" s="2">
        <v>4</v>
      </c>
      <c r="G53">
        <v>5.3</v>
      </c>
      <c r="H53">
        <v>5.3</v>
      </c>
      <c r="I53">
        <v>5.7</v>
      </c>
      <c r="J53">
        <v>5.3</v>
      </c>
      <c r="K53">
        <f>AVERAGE(G53:J53)</f>
        <v>5.4</v>
      </c>
      <c r="L53">
        <v>8</v>
      </c>
    </row>
    <row r="54" spans="2:12" x14ac:dyDescent="0.2">
      <c r="B54" t="s">
        <v>96</v>
      </c>
      <c r="C54" s="1">
        <v>45748</v>
      </c>
      <c r="E54" s="2">
        <v>4</v>
      </c>
      <c r="G54">
        <v>5.8</v>
      </c>
      <c r="H54">
        <v>5.8</v>
      </c>
      <c r="I54">
        <v>5.93</v>
      </c>
      <c r="J54">
        <v>5.9</v>
      </c>
      <c r="K54">
        <f>AVERAGE(G54:J54)</f>
        <v>5.8574999999999999</v>
      </c>
      <c r="L54">
        <v>8</v>
      </c>
    </row>
    <row r="55" spans="2:12" x14ac:dyDescent="0.2">
      <c r="B55" t="s">
        <v>86</v>
      </c>
      <c r="C55" s="1">
        <v>45748</v>
      </c>
      <c r="E55" s="2">
        <v>4</v>
      </c>
      <c r="G55">
        <v>4.8</v>
      </c>
      <c r="H55">
        <v>4.8</v>
      </c>
      <c r="I55">
        <v>5.17</v>
      </c>
      <c r="J55">
        <v>5</v>
      </c>
      <c r="K55">
        <f>AVERAGE(G55:J55)</f>
        <v>4.9424999999999999</v>
      </c>
      <c r="L55">
        <v>7</v>
      </c>
    </row>
    <row r="56" spans="2:12" x14ac:dyDescent="0.2">
      <c r="B56" t="s">
        <v>102</v>
      </c>
      <c r="C56" s="1">
        <v>45748</v>
      </c>
      <c r="E56" s="2">
        <v>4</v>
      </c>
      <c r="G56">
        <v>4.3</v>
      </c>
      <c r="H56">
        <v>4.3</v>
      </c>
      <c r="I56">
        <v>4.43</v>
      </c>
      <c r="J56">
        <v>4.3</v>
      </c>
      <c r="K56">
        <f>AVERAGE(G56:J56)</f>
        <v>4.3324999999999996</v>
      </c>
      <c r="L56">
        <v>9</v>
      </c>
    </row>
    <row r="57" spans="2:12" x14ac:dyDescent="0.2">
      <c r="B57" t="s">
        <v>116</v>
      </c>
      <c r="C57" s="1">
        <v>45748</v>
      </c>
      <c r="E57" s="2">
        <v>4</v>
      </c>
      <c r="G57">
        <v>4.9000000000000004</v>
      </c>
      <c r="H57">
        <v>4.9000000000000004</v>
      </c>
      <c r="I57">
        <v>5.42</v>
      </c>
      <c r="J57">
        <v>5</v>
      </c>
      <c r="K57">
        <f>AVERAGE(G57:J57)</f>
        <v>5.0549999999999997</v>
      </c>
      <c r="L57">
        <v>9</v>
      </c>
    </row>
    <row r="58" spans="2:12" x14ac:dyDescent="0.2">
      <c r="B58" t="s">
        <v>85</v>
      </c>
      <c r="C58" s="1">
        <v>45748</v>
      </c>
      <c r="E58" s="2">
        <v>5</v>
      </c>
      <c r="G58">
        <v>4.3</v>
      </c>
      <c r="H58">
        <v>4.3</v>
      </c>
      <c r="I58">
        <v>4.72</v>
      </c>
      <c r="J58">
        <v>4.5</v>
      </c>
      <c r="K58">
        <f>AVERAGE(G58:J58)</f>
        <v>4.4550000000000001</v>
      </c>
      <c r="L58">
        <v>7</v>
      </c>
    </row>
    <row r="59" spans="2:12" x14ac:dyDescent="0.2">
      <c r="B59" t="s">
        <v>115</v>
      </c>
      <c r="C59" s="1">
        <v>45748</v>
      </c>
      <c r="E59" s="2">
        <v>5</v>
      </c>
      <c r="G59">
        <v>4.5</v>
      </c>
      <c r="H59">
        <v>4.5</v>
      </c>
      <c r="I59">
        <v>4.7699999999999996</v>
      </c>
      <c r="J59">
        <v>4.5</v>
      </c>
      <c r="K59">
        <f>AVERAGE(G59:J59)</f>
        <v>4.5674999999999999</v>
      </c>
      <c r="L59">
        <v>9</v>
      </c>
    </row>
    <row r="60" spans="2:12" x14ac:dyDescent="0.2">
      <c r="B60" t="s">
        <v>50</v>
      </c>
      <c r="C60" s="1">
        <v>45748</v>
      </c>
      <c r="E60" s="2">
        <v>5</v>
      </c>
      <c r="G60">
        <v>5.0999999999999996</v>
      </c>
      <c r="H60">
        <v>5</v>
      </c>
      <c r="I60">
        <v>5.6</v>
      </c>
      <c r="J60">
        <v>5.0999999999999996</v>
      </c>
      <c r="K60">
        <f>AVERAGE(G60:J60)</f>
        <v>5.1999999999999993</v>
      </c>
      <c r="L60">
        <v>10</v>
      </c>
    </row>
    <row r="61" spans="2:12" x14ac:dyDescent="0.2">
      <c r="B61" t="s">
        <v>60</v>
      </c>
      <c r="C61" s="1">
        <v>45748</v>
      </c>
      <c r="E61" s="2">
        <v>5</v>
      </c>
      <c r="G61">
        <v>4.2</v>
      </c>
      <c r="H61">
        <v>4.0999999999999996</v>
      </c>
      <c r="I61">
        <v>4.8</v>
      </c>
      <c r="K61">
        <f>AVERAGE(G61:I61)</f>
        <v>4.3666666666666671</v>
      </c>
      <c r="L61">
        <v>3</v>
      </c>
    </row>
    <row r="62" spans="2:12" x14ac:dyDescent="0.2">
      <c r="B62" t="s">
        <v>72</v>
      </c>
      <c r="C62" s="1">
        <v>45748</v>
      </c>
      <c r="E62" s="2">
        <v>5</v>
      </c>
      <c r="G62">
        <v>4.2</v>
      </c>
      <c r="H62">
        <v>4.2</v>
      </c>
      <c r="I62">
        <v>4.93</v>
      </c>
      <c r="J62">
        <v>4.2</v>
      </c>
      <c r="K62">
        <f>AVERAGE(G62:J62)</f>
        <v>4.3825000000000003</v>
      </c>
      <c r="L62">
        <v>6</v>
      </c>
    </row>
    <row r="63" spans="2:12" x14ac:dyDescent="0.2">
      <c r="B63" t="s">
        <v>64</v>
      </c>
      <c r="C63" s="1">
        <v>45748</v>
      </c>
      <c r="E63" s="2">
        <v>5</v>
      </c>
      <c r="G63">
        <v>4.5</v>
      </c>
      <c r="H63">
        <v>4.3</v>
      </c>
      <c r="I63">
        <v>4.76</v>
      </c>
      <c r="K63">
        <f>AVERAGE(G63:I63)</f>
        <v>4.5200000000000005</v>
      </c>
      <c r="L63">
        <v>3</v>
      </c>
    </row>
    <row r="64" spans="2:12" x14ac:dyDescent="0.2">
      <c r="B64" t="s">
        <v>108</v>
      </c>
      <c r="C64" s="1">
        <v>45748</v>
      </c>
      <c r="E64" s="2">
        <v>6</v>
      </c>
      <c r="G64">
        <v>4.5</v>
      </c>
      <c r="H64">
        <v>4.5</v>
      </c>
      <c r="I64">
        <v>5.01</v>
      </c>
      <c r="J64">
        <v>4.5999999999999996</v>
      </c>
      <c r="K64">
        <f>AVERAGE(G64:J64)</f>
        <v>4.6524999999999999</v>
      </c>
      <c r="L64">
        <v>9</v>
      </c>
    </row>
    <row r="65" spans="2:12" x14ac:dyDescent="0.2">
      <c r="B65" t="s">
        <v>100</v>
      </c>
      <c r="C65" s="1">
        <v>45748</v>
      </c>
      <c r="E65" s="2">
        <v>6</v>
      </c>
      <c r="G65">
        <v>4.7</v>
      </c>
      <c r="H65">
        <v>4.5</v>
      </c>
      <c r="I65">
        <v>4.92</v>
      </c>
      <c r="J65">
        <v>4.8</v>
      </c>
      <c r="K65">
        <f>AVERAGE(G65:J65)</f>
        <v>4.7299999999999995</v>
      </c>
      <c r="L65">
        <v>9</v>
      </c>
    </row>
    <row r="66" spans="2:12" x14ac:dyDescent="0.2">
      <c r="B66" t="s">
        <v>70</v>
      </c>
      <c r="C66" s="1">
        <v>45748</v>
      </c>
      <c r="E66" s="2">
        <v>6</v>
      </c>
      <c r="G66">
        <v>5.0999999999999996</v>
      </c>
      <c r="H66">
        <v>4.9000000000000004</v>
      </c>
      <c r="I66">
        <v>5.75</v>
      </c>
      <c r="J66">
        <v>5.2</v>
      </c>
      <c r="K66">
        <f>AVERAGE(G66:J66)</f>
        <v>5.2374999999999998</v>
      </c>
      <c r="L66">
        <v>6</v>
      </c>
    </row>
    <row r="67" spans="2:12" x14ac:dyDescent="0.2">
      <c r="B67" t="s">
        <v>58</v>
      </c>
      <c r="C67" s="1">
        <v>45748</v>
      </c>
      <c r="E67" s="2">
        <v>6</v>
      </c>
      <c r="G67">
        <v>5.2</v>
      </c>
      <c r="H67">
        <v>5</v>
      </c>
      <c r="I67">
        <v>5.6</v>
      </c>
      <c r="K67">
        <f>AVERAGE(G67:I67)</f>
        <v>5.2666666666666666</v>
      </c>
      <c r="L67">
        <v>1</v>
      </c>
    </row>
    <row r="68" spans="2:12" x14ac:dyDescent="0.2">
      <c r="B68" t="s">
        <v>74</v>
      </c>
      <c r="C68" s="1">
        <v>45748</v>
      </c>
      <c r="E68" s="2">
        <v>6</v>
      </c>
      <c r="G68">
        <v>4.8</v>
      </c>
      <c r="H68">
        <v>4.7</v>
      </c>
      <c r="I68">
        <v>5.37</v>
      </c>
      <c r="J68">
        <v>4.7</v>
      </c>
      <c r="K68">
        <f>AVERAGE(G68:J68)</f>
        <v>4.8925000000000001</v>
      </c>
      <c r="L68">
        <v>6</v>
      </c>
    </row>
    <row r="69" spans="2:12" x14ac:dyDescent="0.2">
      <c r="B69" t="s">
        <v>75</v>
      </c>
      <c r="C69" s="1">
        <v>45748</v>
      </c>
      <c r="E69" s="2">
        <v>6</v>
      </c>
      <c r="G69">
        <v>4.5999999999999996</v>
      </c>
      <c r="H69">
        <v>4.4000000000000004</v>
      </c>
      <c r="I69">
        <v>5.41</v>
      </c>
      <c r="J69">
        <v>4.5999999999999996</v>
      </c>
      <c r="K69">
        <f>AVERAGE(G69:J69)</f>
        <v>4.7524999999999995</v>
      </c>
      <c r="L69">
        <v>6</v>
      </c>
    </row>
    <row r="70" spans="2:12" x14ac:dyDescent="0.2">
      <c r="B70" t="s">
        <v>61</v>
      </c>
      <c r="C70" s="1">
        <v>45748</v>
      </c>
      <c r="E70" s="2">
        <v>7</v>
      </c>
      <c r="G70">
        <v>5</v>
      </c>
      <c r="H70">
        <v>5</v>
      </c>
      <c r="I70">
        <v>5.38</v>
      </c>
      <c r="K70">
        <f>AVERAGE(G70:I70)</f>
        <v>5.126666666666666</v>
      </c>
      <c r="L70">
        <v>3</v>
      </c>
    </row>
    <row r="71" spans="2:12" x14ac:dyDescent="0.2">
      <c r="B71" t="s">
        <v>59</v>
      </c>
      <c r="C71" s="1">
        <v>45748</v>
      </c>
      <c r="E71" s="2">
        <v>7</v>
      </c>
      <c r="G71">
        <v>4.8</v>
      </c>
      <c r="H71">
        <v>4.5</v>
      </c>
      <c r="I71">
        <v>5.2</v>
      </c>
      <c r="K71">
        <f>AVERAGE(G71:I71)</f>
        <v>4.833333333333333</v>
      </c>
      <c r="L71">
        <v>1</v>
      </c>
    </row>
    <row r="72" spans="2:12" x14ac:dyDescent="0.2">
      <c r="B72" t="s">
        <v>65</v>
      </c>
      <c r="C72" s="1">
        <v>45748</v>
      </c>
      <c r="E72" s="2">
        <v>7</v>
      </c>
      <c r="G72">
        <v>4.9000000000000004</v>
      </c>
      <c r="H72">
        <v>4.8</v>
      </c>
      <c r="I72">
        <v>5</v>
      </c>
      <c r="K72">
        <f>AVERAGE(G72:I72)</f>
        <v>4.8999999999999995</v>
      </c>
      <c r="L72">
        <v>3</v>
      </c>
    </row>
    <row r="73" spans="2:12" x14ac:dyDescent="0.2">
      <c r="B73" t="s">
        <v>110</v>
      </c>
      <c r="C73" s="1">
        <v>45748</v>
      </c>
      <c r="E73" s="2">
        <v>7</v>
      </c>
      <c r="G73">
        <v>4.5999999999999996</v>
      </c>
      <c r="H73">
        <v>4.5999999999999996</v>
      </c>
      <c r="I73">
        <v>5.19</v>
      </c>
      <c r="J73">
        <v>4.5999999999999996</v>
      </c>
      <c r="K73">
        <f>AVERAGE(G73:J73)</f>
        <v>4.7475000000000005</v>
      </c>
      <c r="L73">
        <v>10</v>
      </c>
    </row>
    <row r="74" spans="2:12" x14ac:dyDescent="0.2">
      <c r="B74" t="s">
        <v>110</v>
      </c>
      <c r="C74" s="1">
        <v>45748</v>
      </c>
      <c r="E74" s="2">
        <v>7</v>
      </c>
      <c r="G74">
        <v>4.9000000000000004</v>
      </c>
      <c r="H74">
        <v>4.9000000000000004</v>
      </c>
      <c r="I74">
        <v>5.3</v>
      </c>
      <c r="J74">
        <v>5</v>
      </c>
      <c r="K74">
        <f>AVERAGE(G74:J74)</f>
        <v>5.0250000000000004</v>
      </c>
      <c r="L74">
        <v>9</v>
      </c>
    </row>
    <row r="75" spans="2:12" x14ac:dyDescent="0.2">
      <c r="B75" t="s">
        <v>112</v>
      </c>
      <c r="C75" s="1">
        <v>45748</v>
      </c>
      <c r="E75" s="2">
        <v>7</v>
      </c>
      <c r="G75">
        <v>4.5999999999999996</v>
      </c>
      <c r="H75">
        <v>4.4000000000000004</v>
      </c>
      <c r="I75">
        <v>5.03</v>
      </c>
      <c r="J75">
        <v>4.5999999999999996</v>
      </c>
      <c r="K75">
        <f>AVERAGE(G75:J75)</f>
        <v>4.6575000000000006</v>
      </c>
      <c r="L75">
        <v>10</v>
      </c>
    </row>
    <row r="76" spans="2:12" x14ac:dyDescent="0.2">
      <c r="B76" t="s">
        <v>91</v>
      </c>
      <c r="C76" s="1">
        <v>45748</v>
      </c>
      <c r="E76" s="2">
        <v>8</v>
      </c>
      <c r="G76">
        <v>5.0999999999999996</v>
      </c>
      <c r="H76">
        <v>5.0999999999999996</v>
      </c>
      <c r="I76">
        <v>5.31</v>
      </c>
      <c r="J76">
        <v>4.9000000000000004</v>
      </c>
      <c r="K76">
        <f>AVERAGE(G76:J76)</f>
        <v>5.1024999999999991</v>
      </c>
      <c r="L76">
        <v>8</v>
      </c>
    </row>
    <row r="77" spans="2:12" x14ac:dyDescent="0.2">
      <c r="B77" t="s">
        <v>117</v>
      </c>
      <c r="C77" s="1">
        <v>45748</v>
      </c>
      <c r="E77" s="2">
        <v>8</v>
      </c>
      <c r="G77">
        <v>5.5</v>
      </c>
      <c r="H77">
        <v>5.4</v>
      </c>
      <c r="I77">
        <v>5.7</v>
      </c>
      <c r="J77">
        <v>5.5</v>
      </c>
      <c r="K77">
        <f>AVERAGE(G77:J77)</f>
        <v>5.5250000000000004</v>
      </c>
      <c r="L77">
        <v>9</v>
      </c>
    </row>
    <row r="78" spans="2:12" x14ac:dyDescent="0.2">
      <c r="B78" t="s">
        <v>69</v>
      </c>
      <c r="C78" s="1">
        <v>45748</v>
      </c>
      <c r="E78" s="2">
        <v>8</v>
      </c>
      <c r="G78">
        <v>4.9000000000000004</v>
      </c>
      <c r="H78">
        <v>4.8</v>
      </c>
      <c r="I78">
        <v>4.67</v>
      </c>
      <c r="K78">
        <f>AVERAGE(G78:I78)</f>
        <v>4.79</v>
      </c>
      <c r="L78">
        <v>3</v>
      </c>
    </row>
    <row r="79" spans="2:12" x14ac:dyDescent="0.2">
      <c r="B79" t="s">
        <v>71</v>
      </c>
      <c r="C79" s="1">
        <v>45748</v>
      </c>
      <c r="E79" s="2">
        <v>8</v>
      </c>
      <c r="G79">
        <v>5.2</v>
      </c>
      <c r="H79">
        <v>5.0999999999999996</v>
      </c>
      <c r="I79">
        <v>5.88</v>
      </c>
      <c r="J79">
        <v>5.4</v>
      </c>
      <c r="K79">
        <f>AVERAGE(G79:J79)</f>
        <v>5.3949999999999996</v>
      </c>
      <c r="L79">
        <v>6</v>
      </c>
    </row>
    <row r="80" spans="2:12" x14ac:dyDescent="0.2">
      <c r="B80" t="s">
        <v>106</v>
      </c>
      <c r="C80" s="1">
        <v>45748</v>
      </c>
      <c r="E80" s="2">
        <v>8</v>
      </c>
      <c r="G80">
        <v>4.7</v>
      </c>
      <c r="H80">
        <v>4.9000000000000004</v>
      </c>
      <c r="I80">
        <v>5.3</v>
      </c>
      <c r="J80">
        <v>4.9000000000000004</v>
      </c>
      <c r="K80">
        <f>AVERAGE(G80:J80)</f>
        <v>4.9500000000000011</v>
      </c>
      <c r="L80">
        <v>9</v>
      </c>
    </row>
    <row r="81" spans="2:12" x14ac:dyDescent="0.2">
      <c r="B81" t="s">
        <v>113</v>
      </c>
      <c r="C81" s="1">
        <v>45748</v>
      </c>
      <c r="E81" s="2">
        <v>8</v>
      </c>
      <c r="G81">
        <v>5</v>
      </c>
      <c r="H81">
        <v>4.9000000000000004</v>
      </c>
      <c r="I81">
        <v>5.4</v>
      </c>
      <c r="J81">
        <v>5.0999999999999996</v>
      </c>
      <c r="K81">
        <f>AVERAGE(G81:J81)</f>
        <v>5.0999999999999996</v>
      </c>
      <c r="L81">
        <v>10</v>
      </c>
    </row>
    <row r="82" spans="2:12" x14ac:dyDescent="0.2">
      <c r="B82" t="s">
        <v>104</v>
      </c>
      <c r="C82" s="1">
        <v>45748</v>
      </c>
      <c r="E82" s="2">
        <v>9</v>
      </c>
      <c r="G82">
        <v>4.8</v>
      </c>
      <c r="H82">
        <v>4.8</v>
      </c>
      <c r="I82">
        <v>5.23</v>
      </c>
      <c r="J82">
        <v>4.8</v>
      </c>
      <c r="K82">
        <f>AVERAGE(G82:J82)</f>
        <v>4.9074999999999998</v>
      </c>
      <c r="L82">
        <v>9</v>
      </c>
    </row>
    <row r="83" spans="2:12" x14ac:dyDescent="0.2">
      <c r="B83" t="s">
        <v>90</v>
      </c>
      <c r="C83" s="1">
        <v>45748</v>
      </c>
      <c r="E83" s="2">
        <v>9</v>
      </c>
      <c r="G83">
        <v>4.5999999999999996</v>
      </c>
      <c r="H83">
        <v>4.5999999999999996</v>
      </c>
      <c r="I83">
        <v>5.08</v>
      </c>
      <c r="J83">
        <v>4.5999999999999996</v>
      </c>
      <c r="K83">
        <f>AVERAGE(G83:J83)</f>
        <v>4.72</v>
      </c>
      <c r="L83">
        <v>7</v>
      </c>
    </row>
    <row r="84" spans="2:12" x14ac:dyDescent="0.2">
      <c r="B84" t="s">
        <v>62</v>
      </c>
      <c r="C84" s="1">
        <v>45748</v>
      </c>
      <c r="E84" s="2">
        <v>9</v>
      </c>
      <c r="G84">
        <v>5.4</v>
      </c>
      <c r="H84">
        <v>5.5</v>
      </c>
      <c r="I84">
        <v>5.8</v>
      </c>
      <c r="K84">
        <f>AVERAGE(G84:I84)</f>
        <v>5.5666666666666664</v>
      </c>
      <c r="L84">
        <v>3</v>
      </c>
    </row>
    <row r="85" spans="2:12" x14ac:dyDescent="0.2">
      <c r="B85" t="s">
        <v>66</v>
      </c>
      <c r="C85" s="1">
        <v>45748</v>
      </c>
      <c r="E85" s="2">
        <v>9</v>
      </c>
      <c r="G85">
        <v>4.5999999999999996</v>
      </c>
      <c r="H85">
        <v>4.4000000000000004</v>
      </c>
      <c r="I85">
        <v>4.8099999999999996</v>
      </c>
      <c r="K85">
        <f>AVERAGE(G85:I85)</f>
        <v>4.6033333333333326</v>
      </c>
      <c r="L85">
        <v>3</v>
      </c>
    </row>
    <row r="86" spans="2:12" x14ac:dyDescent="0.2">
      <c r="B86" t="s">
        <v>107</v>
      </c>
      <c r="C86" s="1">
        <v>45748</v>
      </c>
      <c r="E86" s="2">
        <v>9</v>
      </c>
      <c r="G86">
        <v>4.4000000000000004</v>
      </c>
      <c r="H86">
        <v>4.4000000000000004</v>
      </c>
      <c r="I86">
        <v>4.8499999999999996</v>
      </c>
      <c r="J86">
        <v>4.5</v>
      </c>
      <c r="K86">
        <f>AVERAGE(G86:J86)</f>
        <v>4.5374999999999996</v>
      </c>
      <c r="L86">
        <v>9</v>
      </c>
    </row>
    <row r="87" spans="2:12" x14ac:dyDescent="0.2">
      <c r="B87" t="s">
        <v>111</v>
      </c>
      <c r="C87" s="1">
        <v>45748</v>
      </c>
      <c r="E87" s="2">
        <v>9</v>
      </c>
      <c r="G87">
        <v>4.4000000000000004</v>
      </c>
      <c r="H87">
        <v>4.5</v>
      </c>
      <c r="I87">
        <v>5.12</v>
      </c>
      <c r="J87">
        <v>4.5</v>
      </c>
      <c r="K87">
        <f>AVERAGE(G87:J87)</f>
        <v>4.63</v>
      </c>
      <c r="L87">
        <v>10</v>
      </c>
    </row>
  </sheetData>
  <sortState xmlns:xlrd2="http://schemas.microsoft.com/office/spreadsheetml/2017/richdata2" ref="A2:N87">
    <sortCondition ref="B1:B87"/>
  </sortStat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A8271-EEC4-CE42-BCD2-831A077D1EAC}">
  <dimension ref="A1"/>
  <sheetViews>
    <sheetView workbookViewId="0"/>
  </sheetViews>
  <sheetFormatPr baseColWidth="10" defaultRowHeight="16"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2222F-8D73-F64C-8129-1AB15E31235C}">
  <dimension ref="A3:C5"/>
  <sheetViews>
    <sheetView workbookViewId="0">
      <selection activeCell="C5" sqref="C5"/>
    </sheetView>
  </sheetViews>
  <sheetFormatPr baseColWidth="10" defaultRowHeight="16" x14ac:dyDescent="0.2"/>
  <cols>
    <col min="1" max="2" width="25.83203125" style="6" customWidth="1"/>
    <col min="3" max="3" width="69.5" style="6" customWidth="1"/>
    <col min="4" max="16384" width="10.83203125" style="6"/>
  </cols>
  <sheetData>
    <row r="3" spans="1:3" ht="17" x14ac:dyDescent="0.2">
      <c r="A3" s="5" t="s">
        <v>1</v>
      </c>
      <c r="B3" s="5" t="s">
        <v>39</v>
      </c>
      <c r="C3" s="5" t="s">
        <v>40</v>
      </c>
    </row>
    <row r="4" spans="1:3" ht="101" customHeight="1" x14ac:dyDescent="0.2">
      <c r="A4" s="7">
        <v>45660</v>
      </c>
      <c r="B4" s="6" t="s">
        <v>41</v>
      </c>
      <c r="C4" s="8" t="s">
        <v>45</v>
      </c>
    </row>
    <row r="5" spans="1:3" ht="51" x14ac:dyDescent="0.2">
      <c r="A5" s="7">
        <v>45660</v>
      </c>
      <c r="B5" s="6" t="s">
        <v>32</v>
      </c>
      <c r="C5" s="6" t="s">
        <v>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27F2-B605-D542-8553-6757BCB77DAC}">
  <dimension ref="A1:C12"/>
  <sheetViews>
    <sheetView workbookViewId="0">
      <selection activeCell="A13" sqref="A13"/>
    </sheetView>
  </sheetViews>
  <sheetFormatPr baseColWidth="10" defaultRowHeight="16" x14ac:dyDescent="0.2"/>
  <sheetData>
    <row r="1" spans="1:3" x14ac:dyDescent="0.2">
      <c r="A1" t="s">
        <v>8</v>
      </c>
    </row>
    <row r="3" spans="1:3" x14ac:dyDescent="0.2">
      <c r="A3" t="s">
        <v>43</v>
      </c>
      <c r="C3" t="s">
        <v>44</v>
      </c>
    </row>
    <row r="4" spans="1:3" x14ac:dyDescent="0.2">
      <c r="A4" t="s">
        <v>9</v>
      </c>
    </row>
    <row r="5" spans="1:3" x14ac:dyDescent="0.2">
      <c r="A5" t="s">
        <v>10</v>
      </c>
    </row>
    <row r="6" spans="1:3" x14ac:dyDescent="0.2">
      <c r="A6" t="s">
        <v>11</v>
      </c>
    </row>
    <row r="7" spans="1:3" x14ac:dyDescent="0.2">
      <c r="A7" t="s">
        <v>80</v>
      </c>
    </row>
    <row r="9" spans="1:3" x14ac:dyDescent="0.2">
      <c r="A9" t="s">
        <v>79</v>
      </c>
      <c r="B9" t="s">
        <v>81</v>
      </c>
    </row>
    <row r="10" spans="1:3" x14ac:dyDescent="0.2">
      <c r="A10">
        <v>1</v>
      </c>
      <c r="B10">
        <v>6.8</v>
      </c>
    </row>
    <row r="11" spans="1:3" x14ac:dyDescent="0.2">
      <c r="A11">
        <v>3</v>
      </c>
      <c r="B11">
        <v>6.9</v>
      </c>
    </row>
    <row r="12" spans="1:3" x14ac:dyDescent="0.2">
      <c r="A12">
        <v>6</v>
      </c>
      <c r="B12">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Pivot Chart</vt:lpstr>
      <vt:lpstr>Raw Data</vt:lpstr>
      <vt:lpstr>Sheet6</vt:lpstr>
      <vt:lpstr>Farmer Record Info</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Treanore, Erin D</dc:creator>
  <cp:lastModifiedBy>Treanore, Erin D</cp:lastModifiedBy>
  <dcterms:created xsi:type="dcterms:W3CDTF">2025-01-03T20:53:57Z</dcterms:created>
  <dcterms:modified xsi:type="dcterms:W3CDTF">2025-01-09T00:24:25Z</dcterms:modified>
</cp:coreProperties>
</file>